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058275c2a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0bd7f3f4aea4050"/>
    <x:sheet xmlns:r="http://schemas.openxmlformats.org/officeDocument/2006/relationships" name="Functional Catalogue" sheetId="2" r:id="R2e58a7a1543242e9"/>
    <x:sheet xmlns:r="http://schemas.openxmlformats.org/officeDocument/2006/relationships" name="Coverage Matrix" sheetId="3" r:id="Rffae7d87741f4149"/>
    <x:sheet xmlns:r="http://schemas.openxmlformats.org/officeDocument/2006/relationships" name="E2E Coverage" sheetId="4" r:id="R15bc98f5f80e4532"/>
    <x:sheet xmlns:r="http://schemas.openxmlformats.org/officeDocument/2006/relationships" name="UI Traceability" sheetId="5" r:id="R047d30dc1dd84f51"/>
    <x:sheet xmlns:r="http://schemas.openxmlformats.org/officeDocument/2006/relationships" name="Architecture Invariants" sheetId="6" r:id="R26d1e58a4f3543ca"/>
    <x:sheet xmlns:r="http://schemas.openxmlformats.org/officeDocument/2006/relationships" name="Master Acceptance" sheetId="7" r:id="Rb2d1000aed6141bc"/>
    <x:sheet xmlns:r="http://schemas.openxmlformats.org/officeDocument/2006/relationships" name="Coverage Dashboard" sheetId="8" r:id="Rf05c782f32c1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be04137354163" /><Relationship Type="http://schemas.openxmlformats.org/officeDocument/2006/relationships/theme" Target="/xl/theme/theme1.xml" Id="R7330538705bc4a8a" /><Relationship Type="http://schemas.openxmlformats.org/officeDocument/2006/relationships/sharedStrings" Target="/xl/sharedStrings.xml" Id="Rb5a354a34d7d494c" /><Relationship Type="http://schemas.openxmlformats.org/officeDocument/2006/relationships/worksheet" Target="/xl/worksheets/sheet1.xml" Id="Rc0bd7f3f4aea4050" /><Relationship Type="http://schemas.openxmlformats.org/officeDocument/2006/relationships/worksheet" Target="/xl/worksheets/sheet2.xml" Id="R2e58a7a1543242e9" /><Relationship Type="http://schemas.openxmlformats.org/officeDocument/2006/relationships/worksheet" Target="/xl/worksheets/sheet3.xml" Id="Rffae7d87741f4149" /><Relationship Type="http://schemas.openxmlformats.org/officeDocument/2006/relationships/worksheet" Target="/xl/worksheets/sheet4.xml" Id="R15bc98f5f80e4532" /><Relationship Type="http://schemas.openxmlformats.org/officeDocument/2006/relationships/worksheet" Target="/xl/worksheets/sheet5.xml" Id="R047d30dc1dd84f51" /><Relationship Type="http://schemas.openxmlformats.org/officeDocument/2006/relationships/worksheet" Target="/xl/worksheets/sheet6.xml" Id="R26d1e58a4f3543ca" /><Relationship Type="http://schemas.openxmlformats.org/officeDocument/2006/relationships/worksheet" Target="/xl/worksheets/sheet7.xml" Id="Rb2d1000aed6141bc" /><Relationship Type="http://schemas.openxmlformats.org/officeDocument/2006/relationships/worksheet" Target="/xl/worksheets/sheet8.xml" Id="Rf05c782f32c14f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 ht="15" hidden="0" customHeight="1">
      <x:c r="A1" s="6" t="str">
        <x:v>Mục</x:v>
      </x:c>
      <x:c r="B1" s="6" t="str">
        <x:v>Nội dung</x:v>
      </x:c>
    </x:row>
    <x:row r="2" ht="15" hidden="0" customHeight="1">
      <x:c r="A2" s="12" t="str">
        <x:v>Tên</x:v>
      </x:c>
      <x:c r="B2" s="12" t="str">
        <x:v>LCMS 01B — Master Functional Catalogue &amp; Requirement Coverage Matrix v1.0</x:v>
      </x:c>
    </x:row>
    <x:row r="3" ht="15" hidden="0" customHeight="1">
      <x:c r="A3" s="12" t="str">
        <x:v>Vai trò</x:v>
      </x:c>
      <x:c r="B3" s="12" t="str">
        <x:v>Bản đồ tổng để DEV/QA theo dõi coverage toàn sản phẩm; đi kèm 01A Full Product &amp; Functional Specification MASTER.</x:v>
      </x:c>
    </x:row>
    <x:row r="4" ht="15" hidden="0" customHeight="1">
      <x:c r="A4" s="12" t="str">
        <x:v>Phạm vi</x:v>
      </x:c>
      <x:c r="B4" s="12" t="str">
        <x:v>D01–D12 + E2E + UI + Permission + Integration + Acceptance.</x:v>
      </x:c>
    </x:row>
    <x:row r="5" ht="15" hidden="0" customHeight="1">
      <x:c r="A5" s="12" t="str">
        <x:v>Quy tắc</x:v>
      </x:c>
      <x:c r="B5" s="12" t="str">
        <x:v>Không dùng 01B thay thế đặc tả sâu 02–09; 01B dùng để xác nhận không bỏ sót module/chức năng và trace sang tài liệu chi tiết.</x:v>
      </x:c>
    </x:row>
    <x:row r="6" ht="15" hidden="0" customHeight="1">
      <x:c r="A6" s="12" t="str">
        <x:v>Trạng thái baseline</x:v>
      </x:c>
      <x:c r="B6" s="12" t="str">
        <x:v>MASTER / DEV IMPLEMENTATION BASELINE</x:v>
      </x:c>
    </x:row>
    <x:row r="7" ht="15" hidden="0" customHeight="1">
      <x:c r="A7" s="12" t="str">
        <x:v>Ngôn ngữ UI</x:v>
      </x:c>
      <x:c r="B7" s="12" t="str">
        <x:v>Tên hiển thị tiếng Việt là chuẩn; canonical English/code key phục vụ BA/DEV.</x:v>
      </x:c>
    </x:row>
    <x:row r="8" ht="15" hidden="0" customHeight="1">
      <x:c r="A8" s="12" t="str">
        <x:v>Standalone</x:v>
      </x:c>
      <x:c r="B8" s="12" t="str">
        <x:v>Manual/Import/API theo capability và SoT policy; derived/control object không generic free CRUD.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6" hidden="0" customWidth="1"/>
    <x:col min="4" max="4" width="48" hidden="0" customWidth="1"/>
    <x:col min="5" max="5" width="22" hidden="0" customWidth="1"/>
    <x:col min="6" max="6" width="30" hidden="0" customWidth="1"/>
    <x:col min="7" max="7" width="30" hidden="0" customWidth="1"/>
    <x:col min="8" max="8" width="18" hidden="0" customWidth="1"/>
    <x:col min="9" max="9" width="18" hidden="0" customWidth="1"/>
    <x:col min="10" max="10" width="28" hidden="0" customWidth="1"/>
    <x:col min="11" max="11" width="24" hidden="0" customWidth="1"/>
    <x:col min="12" max="12" width="24" hidden="0" customWidth="1"/>
    <x:col min="13" max="13" width="12" hidden="0" customWidth="1"/>
    <x:col min="14" max="14" width="20" hidden="0" customWidth="1"/>
    <x:col min="15" max="15" width="26" hidden="0" customWidth="1"/>
  </x:cols>
  <x:sheetData>
    <x:row r="1" ht="15" hidden="0" customHeight="1">
      <x:c r="A1" s="6" t="str">
        <x:v>Domain</x:v>
      </x:c>
      <x:c r="B1" s="6" t="str">
        <x:v>Module</x:v>
      </x:c>
      <x:c r="C1" s="6" t="str">
        <x:v>Function</x:v>
      </x:c>
      <x:c r="D1" s="6" t="str">
        <x:v>Functional Scope</x:v>
      </x:c>
      <x:c r="E1" s="6" t="str">
        <x:v>Actor</x:v>
      </x:c>
      <x:c r="F1" s="6" t="str">
        <x:v>Input</x:v>
      </x:c>
      <x:c r="G1" s="6" t="str">
        <x:v>Output</x:v>
      </x:c>
      <x:c r="H1" s="6" t="str">
        <x:v>Requirement ID</x:v>
      </x:c>
      <x:c r="I1" s="6" t="str">
        <x:v>UI</x:v>
      </x:c>
      <x:c r="J1" s="6" t="str">
        <x:v>DB/Domain</x:v>
      </x:c>
      <x:c r="K1" s="6" t="str">
        <x:v>Input/API</x:v>
      </x:c>
      <x:c r="L1" s="6" t="str">
        <x:v>Permission</x:v>
      </x:c>
      <x:c r="M1" s="6" t="str">
        <x:v>Priority</x:v>
      </x:c>
      <x:c r="N1" s="6" t="str">
        <x:v>Detailed Spec</x:v>
      </x:c>
      <x:c r="O1" s="6" t="str">
        <x:v>Implementation Status</x:v>
      </x:c>
    </x:row>
    <x:row r="2" ht="15" hidden="0" customHeight="1">
      <x:c r="A2" s="12" t="str">
        <x:v>D01</x:v>
      </x:c>
      <x:c r="B2" s="12" t="str">
        <x:v>Nền tảng &amp; Tenant</x:v>
      </x:c>
      <x:c r="C2" s="12" t="str">
        <x:v>Tenant bootstrap</x:v>
      </x:c>
      <x:c r="D2" s="12" t="str">
        <x:v>Khởi tạo tenant/admin/capability</x:v>
      </x:c>
      <x:c r="E2" s="12" t="str">
        <x:v>Admin hệ thống</x:v>
      </x:c>
      <x:c r="F2" s="12" t="str">
        <x:v>Tenant profile</x:v>
      </x:c>
      <x:c r="G2" s="12" t="str">
        <x:v>Tenant active</x:v>
      </x:c>
      <x:c r="H2" s="12" t="str">
        <x:v>PLATFORM-TENANT</x:v>
      </x:c>
      <x:c r="I2" s="12" t="str">
        <x:v>System</x:v>
      </x:c>
      <x:c r="J2" s="12" t="str">
        <x:v>Tenant/config</x:v>
      </x:c>
      <x:c r="K2" s="12" t="str">
        <x:v>API/Admin</x:v>
      </x:c>
      <x:c r="L2" s="12" t="str">
        <x:v>TENANT_ADMIN</x:v>
      </x:c>
      <x:c r="M2" s="12" t="str">
        <x:v>P0</x:v>
      </x:c>
      <x:c r="N2" s="12" t="str">
        <x:v>01A</x:v>
      </x:c>
      <x:c r="O2" s="12" t="str">
        <x:v>Chưa triển khai/DEV cập nhật</x:v>
      </x:c>
    </x:row>
    <x:row r="3" ht="15" hidden="0" customHeight="1">
      <x:c r="A3" s="12" t="str">
        <x:v>D01</x:v>
      </x:c>
      <x:c r="B3" s="12" t="str">
        <x:v>Nền tảng &amp; Tenant</x:v>
      </x:c>
      <x:c r="C3" s="12" t="str">
        <x:v>Capability</x:v>
      </x:c>
      <x:c r="D3" s="12" t="str">
        <x:v>Bật/tắt module/operational depth/input channel</x:v>
      </x:c>
      <x:c r="E3" s="12" t="str">
        <x:v>Admin tenant</x:v>
      </x:c>
      <x:c r="F3" s="12" t="str">
        <x:v>Capability config</x:v>
      </x:c>
      <x:c r="G3" s="12" t="str">
        <x:v>Runtime policy</x:v>
      </x:c>
      <x:c r="H3" s="12" t="str">
        <x:v>PLATFORM-CAP</x:v>
      </x:c>
      <x:c r="I3" s="12" t="str">
        <x:v>System</x:v>
      </x:c>
      <x:c r="J3" s="12" t="str">
        <x:v>Config</x:v>
      </x:c>
      <x:c r="K3" s="12" t="str">
        <x:v>Admin/API</x:v>
      </x:c>
      <x:c r="L3" s="12" t="str">
        <x:v>TENANT_ADMIN</x:v>
      </x:c>
      <x:c r="M3" s="12" t="str">
        <x:v>P0</x:v>
      </x:c>
      <x:c r="N3" s="12" t="str">
        <x:v>01A</x:v>
      </x:c>
      <x:c r="O3" s="12" t="str"/>
    </x:row>
    <x:row r="4" ht="15" hidden="0" customHeight="1">
      <x:c r="A4" s="12" t="str">
        <x:v>D02</x:v>
      </x:c>
      <x:c r="B4" s="12" t="str">
        <x:v>Danh mục dữ liệu</x:v>
      </x:c>
      <x:c r="C4" s="12" t="str">
        <x:v>Business Party</x:v>
      </x:c>
      <x:c r="D4" s="12" t="str">
        <x:v>Customer/Vendor/Carrier/Payer... theo role</x:v>
      </x:c>
      <x:c r="E4" s="12" t="str">
        <x:v>Master Data</x:v>
      </x:c>
      <x:c r="F4" s="12" t="str">
        <x:v>Party data</x:v>
      </x:c>
      <x:c r="G4" s="12" t="str">
        <x:v>Canonical Party</x:v>
      </x:c>
      <x:c r="H4" s="12" t="str">
        <x:v>MD-PARTY</x:v>
      </x:c>
      <x:c r="I4" s="12" t="str">
        <x:v>UI-13</x:v>
      </x:c>
      <x:c r="J4" s="12" t="str">
        <x:v>Party/role</x:v>
      </x:c>
      <x:c r="K4" s="12" t="str">
        <x:v>Manual/Import/API</x:v>
      </x:c>
      <x:c r="L4" s="12" t="str">
        <x:v>MASTER_DATA_EDIT</x:v>
      </x:c>
      <x:c r="M4" s="12" t="str">
        <x:v>P0</x:v>
      </x:c>
      <x:c r="N4" s="12" t="str">
        <x:v>02A/02B</x:v>
      </x:c>
      <x:c r="O4" s="12" t="str"/>
    </x:row>
    <x:row r="5" ht="15" hidden="0" customHeight="1">
      <x:c r="A5" s="12" t="str">
        <x:v>D02</x:v>
      </x:c>
      <x:c r="B5" s="12" t="str">
        <x:v>Danh mục dữ liệu</x:v>
      </x:c>
      <x:c r="C5" s="12" t="str">
        <x:v>Location/Route</x:v>
      </x:c>
      <x:c r="D5" s="12" t="str">
        <x:v>Airport/Port/City/Depot + route</x:v>
      </x:c>
      <x:c r="E5" s="12" t="str">
        <x:v>Master Data</x:v>
      </x:c>
      <x:c r="F5" s="12" t="str">
        <x:v>Location/route</x:v>
      </x:c>
      <x:c r="G5" s="12" t="str">
        <x:v>Canonical reference</x:v>
      </x:c>
      <x:c r="H5" s="12" t="str">
        <x:v>MD-LOC</x:v>
      </x:c>
      <x:c r="I5" s="12" t="str">
        <x:v>UI-13</x:v>
      </x:c>
      <x:c r="J5" s="12" t="str">
        <x:v>Location/route</x:v>
      </x:c>
      <x:c r="K5" s="12" t="str">
        <x:v>Manual/Import/API</x:v>
      </x:c>
      <x:c r="L5" s="12" t="str">
        <x:v>MASTER_DATA_EDIT</x:v>
      </x:c>
      <x:c r="M5" s="12" t="str">
        <x:v>P0</x:v>
      </x:c>
      <x:c r="N5" s="12" t="str">
        <x:v>02A/02B</x:v>
      </x:c>
      <x:c r="O5" s="12" t="str"/>
    </x:row>
    <x:row r="6" ht="15" hidden="0" customHeight="1">
      <x:c r="A6" s="12" t="str">
        <x:v>D02</x:v>
      </x:c>
      <x:c r="B6" s="12" t="str">
        <x:v>Danh mục dữ liệu</x:v>
      </x:c>
      <x:c r="C6" s="12" t="str">
        <x:v>Service/Mode/Commodity</x:v>
      </x:c>
      <x:c r="D6" s="12" t="str">
        <x:v>Cấu hình mode/service/cargo taxonomy</x:v>
      </x:c>
      <x:c r="E6" s="12" t="str">
        <x:v>Master Data</x:v>
      </x:c>
      <x:c r="F6" s="12" t="str">
        <x:v>Master values</x:v>
      </x:c>
      <x:c r="G6" s="12" t="str">
        <x:v>Canonical context</x:v>
      </x:c>
      <x:c r="H6" s="12" t="str">
        <x:v>MD-SVC</x:v>
      </x:c>
      <x:c r="I6" s="12" t="str">
        <x:v>UI-13</x:v>
      </x:c>
      <x:c r="J6" s="12" t="str">
        <x:v>Master tables</x:v>
      </x:c>
      <x:c r="K6" s="12" t="str">
        <x:v>Manual/Import/API</x:v>
      </x:c>
      <x:c r="L6" s="12" t="str">
        <x:v>MASTER_DATA_EDIT</x:v>
      </x:c>
      <x:c r="M6" s="12" t="str">
        <x:v>P0</x:v>
      </x:c>
      <x:c r="N6" s="12" t="str">
        <x:v>02A/02B</x:v>
      </x:c>
      <x:c r="O6" s="12" t="str"/>
    </x:row>
    <x:row r="7" ht="15" hidden="0" customHeight="1">
      <x:c r="A7" s="12" t="str">
        <x:v>D03</x:v>
      </x:c>
      <x:c r="B7" s="12" t="str">
        <x:v>Đơn hàng vận chuyển</x:v>
      </x:c>
      <x:c r="C7" s="12" t="str">
        <x:v>Order</x:v>
      </x:c>
      <x:c r="D7" s="12" t="str">
        <x:v>List/Search/Create/Detail/Relationship</x:v>
      </x:c>
      <x:c r="E7" s="12" t="str">
        <x:v>Operation/CS</x:v>
      </x:c>
      <x:c r="F7" s="12" t="str">
        <x:v>Order context</x:v>
      </x:c>
      <x:c r="G7" s="12" t="str">
        <x:v>Order reference</x:v>
      </x:c>
      <x:c r="H7" s="12" t="str">
        <x:v>OR-ORDER</x:v>
      </x:c>
      <x:c r="I7" s="12" t="str">
        <x:v>UI-02/Operational</x:v>
      </x:c>
      <x:c r="J7" s="12" t="str">
        <x:v>orders</x:v>
      </x:c>
      <x:c r="K7" s="12" t="str">
        <x:v>Manual/Import/API</x:v>
      </x:c>
      <x:c r="L7" s="12" t="str">
        <x:v>ORDER_*</x:v>
      </x:c>
      <x:c r="M7" s="12" t="str">
        <x:v>P0</x:v>
      </x:c>
      <x:c r="N7" s="12" t="str">
        <x:v>02A/02B</x:v>
      </x:c>
      <x:c r="O7" s="12" t="str"/>
    </x:row>
    <x:row r="8" ht="15" hidden="0" customHeight="1">
      <x:c r="A8" s="12" t="str">
        <x:v>D03</x:v>
      </x:c>
      <x:c r="B8" s="12" t="str">
        <x:v>Đơn hàng vận chuyển</x:v>
      </x:c>
      <x:c r="C8" s="12" t="str">
        <x:v>Bill</x:v>
      </x:c>
      <x:c r="D8" s="12" t="str">
        <x:v>Financial Anchor + operational context</x:v>
      </x:c>
      <x:c r="E8" s="12" t="str">
        <x:v>Operation/Finance</x:v>
      </x:c>
      <x:c r="F8" s="12" t="str">
        <x:v>Bill context</x:v>
      </x:c>
      <x:c r="G8" s="12" t="str">
        <x:v>Bill reference</x:v>
      </x:c>
      <x:c r="H8" s="12" t="str">
        <x:v>OR-BILL</x:v>
      </x:c>
      <x:c r="I8" s="12" t="str">
        <x:v>UI-02</x:v>
      </x:c>
      <x:c r="J8" s="12" t="str">
        <x:v>bills</x:v>
      </x:c>
      <x:c r="K8" s="12" t="str">
        <x:v>Manual/Import/API</x:v>
      </x:c>
      <x:c r="L8" s="12" t="str">
        <x:v>BILL_*</x:v>
      </x:c>
      <x:c r="M8" s="12" t="str">
        <x:v>P0</x:v>
      </x:c>
      <x:c r="N8" s="12" t="str">
        <x:v>02A/02B</x:v>
      </x:c>
      <x:c r="O8" s="12" t="str"/>
    </x:row>
    <x:row r="9" ht="15" hidden="0" customHeight="1">
      <x:c r="A9" s="12" t="str">
        <x:v>D03</x:v>
      </x:c>
      <x:c r="B9" s="12" t="str">
        <x:v>Đơn hàng vận chuyển</x:v>
      </x:c>
      <x:c r="C9" s="12" t="str">
        <x:v>Shipment</x:v>
      </x:c>
      <x:c r="D9" s="12" t="str">
        <x:v>Aggregation/cost source</x:v>
      </x:c>
      <x:c r="E9" s="12" t="str">
        <x:v>Operation</x:v>
      </x:c>
      <x:c r="F9" s="12" t="str">
        <x:v>Shipment context</x:v>
      </x:c>
      <x:c r="G9" s="12" t="str">
        <x:v>Shipment reference</x:v>
      </x:c>
      <x:c r="H9" s="12" t="str">
        <x:v>OR-SHP</x:v>
      </x:c>
      <x:c r="I9" s="12" t="str">
        <x:v>Operational</x:v>
      </x:c>
      <x:c r="J9" s="12" t="str">
        <x:v>shipments</x:v>
      </x:c>
      <x:c r="K9" s="12" t="str">
        <x:v>Manual/Import/API</x:v>
      </x:c>
      <x:c r="L9" s="12" t="str">
        <x:v>SHIPMENT_*</x:v>
      </x:c>
      <x:c r="M9" s="12" t="str">
        <x:v>P1</x:v>
      </x:c>
      <x:c r="N9" s="12" t="str">
        <x:v>02A/02B</x:v>
      </x:c>
      <x:c r="O9" s="12" t="str"/>
    </x:row>
    <x:row r="10" ht="15" hidden="0" customHeight="1">
      <x:c r="A10" s="12" t="str">
        <x:v>D03</x:v>
      </x:c>
      <x:c r="B10" s="12" t="str">
        <x:v>Đơn hàng vận chuyển</x:v>
      </x:c>
      <x:c r="C10" s="12" t="str">
        <x:v>Chặng</x:v>
      </x:c>
      <x:c r="D10" s="12" t="str">
        <x:v>Logical transport leg</x:v>
      </x:c>
      <x:c r="E10" s="12" t="str">
        <x:v>Operation</x:v>
      </x:c>
      <x:c r="F10" s="12" t="str">
        <x:v>Leg context</x:v>
      </x:c>
      <x:c r="G10" s="12" t="str">
        <x:v>Leg reference</x:v>
      </x:c>
      <x:c r="H10" s="12" t="str">
        <x:v>OR-LEG</x:v>
      </x:c>
      <x:c r="I10" s="12" t="str">
        <x:v>Operational</x:v>
      </x:c>
      <x:c r="J10" s="12" t="str">
        <x:v>transport_legs</x:v>
      </x:c>
      <x:c r="K10" s="12" t="str">
        <x:v>Manual/Import/API</x:v>
      </x:c>
      <x:c r="L10" s="12" t="str">
        <x:v>LEG_*</x:v>
      </x:c>
      <x:c r="M10" s="12" t="str">
        <x:v>P1</x:v>
      </x:c>
      <x:c r="N10" s="12" t="str">
        <x:v>02A/02B</x:v>
      </x:c>
      <x:c r="O10" s="12" t="str"/>
    </x:row>
    <x:row r="11" ht="15" hidden="0" customHeight="1">
      <x:c r="A11" s="12" t="str">
        <x:v>D03</x:v>
      </x:c>
      <x:c r="B11" s="12" t="str">
        <x:v>Đơn hàng vận chuyển</x:v>
      </x:c>
      <x:c r="C11" s="12" t="str">
        <x:v>Chuyến</x:v>
      </x:c>
      <x:c r="D11" s="12" t="str">
        <x:v>Flight/Voyage/Trip reference</x:v>
      </x:c>
      <x:c r="E11" s="12" t="str">
        <x:v>Operation</x:v>
      </x:c>
      <x:c r="F11" s="12" t="str">
        <x:v>Movement context</x:v>
      </x:c>
      <x:c r="G11" s="12" t="str">
        <x:v>Movement reference</x:v>
      </x:c>
      <x:c r="H11" s="12" t="str">
        <x:v>OR-MOV</x:v>
      </x:c>
      <x:c r="I11" s="12" t="str">
        <x:v>Operational</x:v>
      </x:c>
      <x:c r="J11" s="12" t="str">
        <x:v>transport_movements</x:v>
      </x:c>
      <x:c r="K11" s="12" t="str">
        <x:v>Manual/Import/API</x:v>
      </x:c>
      <x:c r="L11" s="12" t="str">
        <x:v>MOVEMENT_*</x:v>
      </x:c>
      <x:c r="M11" s="12" t="str">
        <x:v>P1</x:v>
      </x:c>
      <x:c r="N11" s="12" t="str">
        <x:v>02A/02B</x:v>
      </x:c>
      <x:c r="O11" s="12" t="str"/>
    </x:row>
    <x:row r="12" ht="15" hidden="0" customHeight="1">
      <x:c r="A12" s="12" t="str">
        <x:v>D03</x:v>
      </x:c>
      <x:c r="B12" s="12" t="str">
        <x:v>Đơn hàng vận chuyển</x:v>
      </x:c>
      <x:c r="C12" s="12" t="str">
        <x:v>Relationships</x:v>
      </x:c>
      <x:c r="D12" s="12" t="str">
        <x:v>Order↔Bill↔Shipment↔Leg↔Movement</x:v>
      </x:c>
      <x:c r="E12" s="12" t="str">
        <x:v>Operation/Finance</x:v>
      </x:c>
      <x:c r="F12" s="12" t="str">
        <x:v>Object IDs</x:v>
      </x:c>
      <x:c r="G12" s="12" t="str">
        <x:v>Relationship graph</x:v>
      </x:c>
      <x:c r="H12" s="12" t="str">
        <x:v>OR-REL</x:v>
      </x:c>
      <x:c r="I12" s="12" t="str">
        <x:v>Operational</x:v>
      </x:c>
      <x:c r="J12" s="12" t="str">
        <x:v>link tables</x:v>
      </x:c>
      <x:c r="K12" s="12" t="str">
        <x:v>API/UI</x:v>
      </x:c>
      <x:c r="L12" s="12" t="str">
        <x:v>RELATION_*</x:v>
      </x:c>
      <x:c r="M12" s="12" t="str">
        <x:v>P0</x:v>
      </x:c>
      <x:c r="N12" s="12" t="str">
        <x:v>02A/02B</x:v>
      </x:c>
      <x:c r="O12" s="12" t="str"/>
    </x:row>
    <x:row r="13" ht="15" hidden="0" customHeight="1">
      <x:c r="A13" s="12" t="str">
        <x:v>D04</x:v>
      </x:c>
      <x:c r="B13" s="12" t="str">
        <x:v>Bảng giá &amp; Tính giá</x:v>
      </x:c>
      <x:c r="C13" s="12" t="str">
        <x:v>Rate Card BUY/SELL</x:v>
      </x:c>
      <x:c r="D13" s="12" t="str">
        <x:v>Quản lý bảng giá mua/bán</x:v>
      </x:c>
      <x:c r="E13" s="12" t="str">
        <x:v>Pricing</x:v>
      </x:c>
      <x:c r="F13" s="12" t="str">
        <x:v>Rate master</x:v>
      </x:c>
      <x:c r="G13" s="12" t="str">
        <x:v>Rate Card</x:v>
      </x:c>
      <x:c r="H13" s="12" t="str">
        <x:v>RATE-CARD</x:v>
      </x:c>
      <x:c r="I13" s="12" t="str">
        <x:v>UI-03</x:v>
      </x:c>
      <x:c r="J13" s="12" t="str">
        <x:v>rate_cards</x:v>
      </x:c>
      <x:c r="K13" s="12" t="str">
        <x:v>Manual/Import/API</x:v>
      </x:c>
      <x:c r="L13" s="12" t="str">
        <x:v>RATE_*</x:v>
      </x:c>
      <x:c r="M13" s="12" t="str">
        <x:v>P0</x:v>
      </x:c>
      <x:c r="N13" s="12" t="str">
        <x:v>03A/03B</x:v>
      </x:c>
      <x:c r="O13" s="12" t="str"/>
    </x:row>
    <x:row r="14" ht="15" hidden="0" customHeight="1">
      <x:c r="A14" s="12" t="str">
        <x:v>D04</x:v>
      </x:c>
      <x:c r="B14" s="12" t="str">
        <x:v>Bảng giá &amp; Tính giá</x:v>
      </x:c>
      <x:c r="C14" s="12" t="str">
        <x:v>Rate Version</x:v>
      </x:c>
      <x:c r="D14" s="12" t="str">
        <x:v>Draft/Publish/effectivity/immutable</x:v>
      </x:c>
      <x:c r="E14" s="12" t="str">
        <x:v>Pricing</x:v>
      </x:c>
      <x:c r="F14" s="12" t="str">
        <x:v>Version/rules</x:v>
      </x:c>
      <x:c r="G14" s="12" t="str">
        <x:v>Published version</x:v>
      </x:c>
      <x:c r="H14" s="12" t="str">
        <x:v>RATE-VER</x:v>
      </x:c>
      <x:c r="I14" s="12" t="str">
        <x:v>UI-03</x:v>
      </x:c>
      <x:c r="J14" s="12" t="str">
        <x:v>rate_versions</x:v>
      </x:c>
      <x:c r="K14" s="12" t="str">
        <x:v>Manual/Import/API</x:v>
      </x:c>
      <x:c r="L14" s="12" t="str">
        <x:v>RATE_*_PUBLISH</x:v>
      </x:c>
      <x:c r="M14" s="12" t="str">
        <x:v>P0</x:v>
      </x:c>
      <x:c r="N14" s="12" t="str">
        <x:v>03A/03B</x:v>
      </x:c>
      <x:c r="O14" s="12" t="str"/>
    </x:row>
    <x:row r="15" ht="15" hidden="0" customHeight="1">
      <x:c r="A15" s="12" t="str">
        <x:v>D04</x:v>
      </x:c>
      <x:c r="B15" s="12" t="str">
        <x:v>Bảng giá &amp; Tính giá</x:v>
      </x:c>
      <x:c r="C15" s="12" t="str">
        <x:v>Rating Engine</x:v>
      </x:c>
      <x:c r="D15" s="12" t="str">
        <x:v>Rule selection + calculation pipeline</x:v>
      </x:c>
      <x:c r="E15" s="12" t="str">
        <x:v>Pricing/System</x:v>
      </x:c>
      <x:c r="F15" s="12" t="str">
        <x:v>Rating Context</x:v>
      </x:c>
      <x:c r="G15" s="12" t="str">
        <x:v>Rating + breakdown</x:v>
      </x:c>
      <x:c r="H15" s="12" t="str">
        <x:v>RATING</x:v>
      </x:c>
      <x:c r="I15" s="12" t="str">
        <x:v>UI-03</x:v>
      </x:c>
      <x:c r="J15" s="12" t="str">
        <x:v>ratings/rating_details</x:v>
      </x:c>
      <x:c r="K15" s="12" t="str">
        <x:v>System/API</x:v>
      </x:c>
      <x:c r="L15" s="12" t="str">
        <x:v>RATING_EXECUTE</x:v>
      </x:c>
      <x:c r="M15" s="12" t="str">
        <x:v>P0</x:v>
      </x:c>
      <x:c r="N15" s="12" t="str">
        <x:v>03A/03B</x:v>
      </x:c>
      <x:c r="O15" s="12" t="str"/>
    </x:row>
    <x:row r="16" ht="15" hidden="0" customHeight="1">
      <x:c r="A16" s="12" t="str">
        <x:v>D04</x:v>
      </x:c>
      <x:c r="B16" s="12" t="str">
        <x:v>Bảng giá &amp; Tính giá</x:v>
      </x:c>
      <x:c r="C16" s="12" t="str">
        <x:v>Calculation Modes</x:v>
      </x:c>
      <x:c r="D16" s="12" t="str">
        <x:v>Pivot/Step/Unit/Fixed/Container/Composite</x:v>
      </x:c>
      <x:c r="E16" s="12" t="str">
        <x:v>System</x:v>
      </x:c>
      <x:c r="F16" s="12" t="str">
        <x:v>Rule+quantity</x:v>
      </x:c>
      <x:c r="G16" s="12" t="str">
        <x:v>Calculated amount</x:v>
      </x:c>
      <x:c r="H16" s="12" t="str">
        <x:v>RATING-MODE</x:v>
      </x:c>
      <x:c r="I16" s="12" t="str">
        <x:v>UI-03</x:v>
      </x:c>
      <x:c r="J16" s="12" t="str">
        <x:v>pricing_rules/components</x:v>
      </x:c>
      <x:c r="K16" s="12" t="str">
        <x:v>System</x:v>
      </x:c>
      <x:c r="L16" s="12" t="str">
        <x:v>RATING_EXECUTE</x:v>
      </x:c>
      <x:c r="M16" s="12" t="str">
        <x:v>P0</x:v>
      </x:c>
      <x:c r="N16" s="12" t="str">
        <x:v>03A/03B</x:v>
      </x:c>
      <x:c r="O16" s="12" t="str"/>
    </x:row>
    <x:row r="17" ht="15" hidden="0" customHeight="1">
      <x:c r="A17" s="12" t="str">
        <x:v>D05</x:v>
      </x:c>
      <x:c r="B17" s="12" t="str">
        <x:v>Chi phí</x:v>
      </x:c>
      <x:c r="C17" s="12" t="str">
        <x:v>Cost Capture</x:v>
      </x:c>
      <x:c r="D17" s="12" t="str">
        <x:v>Expected/Confirmed/Actual Cost</x:v>
      </x:c>
      <x:c r="E17" s="12" t="str">
        <x:v>Finance/Operation</x:v>
      </x:c>
      <x:c r="F17" s="12" t="str">
        <x:v>Cost evidence/context</x:v>
      </x:c>
      <x:c r="G17" s="12" t="str">
        <x:v>Cost fact</x:v>
      </x:c>
      <x:c r="H17" s="12" t="str">
        <x:v>COST-CAP</x:v>
      </x:c>
      <x:c r="I17" s="12" t="str">
        <x:v>UI-04</x:v>
      </x:c>
      <x:c r="J17" s="12" t="str">
        <x:v>costs</x:v>
      </x:c>
      <x:c r="K17" s="12" t="str">
        <x:v>Manual/Import/API/Rating</x:v>
      </x:c>
      <x:c r="L17" s="12" t="str">
        <x:v>COST_*</x:v>
      </x:c>
      <x:c r="M17" s="12" t="str">
        <x:v>P0</x:v>
      </x:c>
      <x:c r="N17" s="12" t="str">
        <x:v>04A/04B</x:v>
      </x:c>
      <x:c r="O17" s="12" t="str">
        <x:v>Chờ File 04</x:v>
      </x:c>
    </x:row>
    <x:row r="18" ht="15" hidden="0" customHeight="1">
      <x:c r="A18" s="12" t="str">
        <x:v>D05</x:v>
      </x:c>
      <x:c r="B18" s="12" t="str">
        <x:v>Chi phí</x:v>
      </x:c>
      <x:c r="C18" s="12" t="str">
        <x:v>Cost Allocation</x:v>
      </x:c>
      <x:c r="D18" s="12" t="str">
        <x:v>Auto + controlled manual allocation</x:v>
      </x:c>
      <x:c r="E18" s="12" t="str">
        <x:v>Finance</x:v>
      </x:c>
      <x:c r="F18" s="12" t="str">
        <x:v>Shared cost + basis</x:v>
      </x:c>
      <x:c r="G18" s="12" t="str">
        <x:v>Bill allocation</x:v>
      </x:c>
      <x:c r="H18" s="12" t="str">
        <x:v>COST-ALLOC</x:v>
      </x:c>
      <x:c r="I18" s="12" t="str">
        <x:v>UI-04</x:v>
      </x:c>
      <x:c r="J18" s="12" t="str">
        <x:v>cost_allocations/details</x:v>
      </x:c>
      <x:c r="K18" s="12" t="str">
        <x:v>Workflow/System</x:v>
      </x:c>
      <x:c r="L18" s="12" t="str">
        <x:v>COST_ALLOCATE</x:v>
      </x:c>
      <x:c r="M18" s="12" t="str">
        <x:v>P0</x:v>
      </x:c>
      <x:c r="N18" s="12" t="str">
        <x:v>04A/04B</x:v>
      </x:c>
      <x:c r="O18" s="12" t="str">
        <x:v>Chờ File 04</x:v>
      </x:c>
    </x:row>
    <x:row r="19" ht="15" hidden="0" customHeight="1">
      <x:c r="A19" s="12" t="str">
        <x:v>D05</x:v>
      </x:c>
      <x:c r="B19" s="12" t="str">
        <x:v>Chi phí</x:v>
      </x:c>
      <x:c r="C19" s="12" t="str">
        <x:v>Cost Adjustment</x:v>
      </x:c>
      <x:c r="D19" s="12" t="str">
        <x:v>Adjustment/reversal/supersede</x:v>
      </x:c>
      <x:c r="E19" s="12" t="str">
        <x:v>Finance</x:v>
      </x:c>
      <x:c r="F19" s="12" t="str">
        <x:v>Existing cost</x:v>
      </x:c>
      <x:c r="G19" s="12" t="str">
        <x:v>Adjusted economic cost</x:v>
      </x:c>
      <x:c r="H19" s="12" t="str">
        <x:v>COST-ADJ</x:v>
      </x:c>
      <x:c r="I19" s="12" t="str">
        <x:v>UI-04</x:v>
      </x:c>
      <x:c r="J19" s="12" t="str">
        <x:v>cost_adjustments</x:v>
      </x:c>
      <x:c r="K19" s="12" t="str">
        <x:v>Workflow</x:v>
      </x:c>
      <x:c r="L19" s="12" t="str">
        <x:v>COST_ADJUST</x:v>
      </x:c>
      <x:c r="M19" s="12" t="str">
        <x:v>P0</x:v>
      </x:c>
      <x:c r="N19" s="12" t="str">
        <x:v>04A/04B</x:v>
      </x:c>
      <x:c r="O19" s="12" t="str">
        <x:v>Chờ File 04</x:v>
      </x:c>
    </x:row>
    <x:row r="20" ht="15" hidden="0" customHeight="1">
      <x:c r="A20" s="12" t="str">
        <x:v>D06</x:v>
      </x:c>
      <x:c r="B20" s="12" t="str">
        <x:v>Doanh thu &amp; Lợi nhuận</x:v>
      </x:c>
      <x:c r="C20" s="12" t="str">
        <x:v>Revenue Capture</x:v>
      </x:c>
      <x:c r="D20" s="12" t="str">
        <x:v>Expected/Confirmed/Actual Revenue</x:v>
      </x:c>
      <x:c r="E20" s="12" t="str">
        <x:v>Finance/Sales</x:v>
      </x:c>
      <x:c r="F20" s="12" t="str">
        <x:v>Revenue context/evidence</x:v>
      </x:c>
      <x:c r="G20" s="12" t="str">
        <x:v>Revenue fact</x:v>
      </x:c>
      <x:c r="H20" s="12" t="str">
        <x:v>REV-CAP</x:v>
      </x:c>
      <x:c r="I20" s="12" t="str">
        <x:v>UI-05</x:v>
      </x:c>
      <x:c r="J20" s="12" t="str">
        <x:v>revenues</x:v>
      </x:c>
      <x:c r="K20" s="12" t="str">
        <x:v>Manual/Import/API/Rating</x:v>
      </x:c>
      <x:c r="L20" s="12" t="str">
        <x:v>REVENUE_*</x:v>
      </x:c>
      <x:c r="M20" s="12" t="str">
        <x:v>P0</x:v>
      </x:c>
      <x:c r="N20" s="12" t="str">
        <x:v>05</x:v>
      </x:c>
      <x:c r="O20" s="12" t="str">
        <x:v>Chờ</x:v>
      </x:c>
    </x:row>
    <x:row r="21" ht="15" hidden="0" customHeight="1">
      <x:c r="A21" s="12" t="str">
        <x:v>D06</x:v>
      </x:c>
      <x:c r="B21" s="12" t="str">
        <x:v>Doanh thu &amp; Lợi nhuận</x:v>
      </x:c>
      <x:c r="C21" s="12" t="str">
        <x:v>Profitability</x:v>
      </x:c>
      <x:c r="D21" s="12" t="str">
        <x:v>Bill/customer/service profitability</x:v>
      </x:c>
      <x:c r="E21" s="12" t="str">
        <x:v>Finance/Management</x:v>
      </x:c>
      <x:c r="F21" s="12" t="str">
        <x:v>Revenue+Cost</x:v>
      </x:c>
      <x:c r="G21" s="12" t="str">
        <x:v>Gross profit/margin</x:v>
      </x:c>
      <x:c r="H21" s="12" t="str">
        <x:v>PROFIT</x:v>
      </x:c>
      <x:c r="I21" s="12" t="str">
        <x:v>UI-05</x:v>
      </x:c>
      <x:c r="J21" s="12" t="str">
        <x:v>Derived/query</x:v>
      </x:c>
      <x:c r="K21" s="12" t="str">
        <x:v>System</x:v>
      </x:c>
      <x:c r="L21" s="12" t="str">
        <x:v>PROFIT_VIEW</x:v>
      </x:c>
      <x:c r="M21" s="12" t="str">
        <x:v>P0</x:v>
      </x:c>
      <x:c r="N21" s="12" t="str">
        <x:v>05</x:v>
      </x:c>
      <x:c r="O21" s="12" t="str">
        <x:v>Chờ</x:v>
      </x:c>
    </x:row>
    <x:row r="22" ht="15" hidden="0" customHeight="1">
      <x:c r="A22" s="12" t="str">
        <x:v>D07</x:v>
      </x:c>
      <x:c r="B22" s="12" t="str">
        <x:v>Chứng từ tài chính</x:v>
      </x:c>
      <x:c r="C22" s="12" t="str">
        <x:v>Financial Document</x:v>
      </x:c>
      <x:c r="D22" s="12" t="str">
        <x:v>DN/Invoice/other evidence</x:v>
      </x:c>
      <x:c r="E22" s="12" t="str">
        <x:v>Finance</x:v>
      </x:c>
      <x:c r="F22" s="12" t="str">
        <x:v>Document/header/detail</x:v>
      </x:c>
      <x:c r="G22" s="12" t="str">
        <x:v>Financial document</x:v>
      </x:c>
      <x:c r="H22" s="12" t="str">
        <x:v>FIN-DOC</x:v>
      </x:c>
      <x:c r="I22" s="12" t="str">
        <x:v>UI-06</x:v>
      </x:c>
      <x:c r="J22" s="12" t="str">
        <x:v>financial_documents</x:v>
      </x:c>
      <x:c r="K22" s="12" t="str">
        <x:v>Manual/Import/API</x:v>
      </x:c>
      <x:c r="L22" s="12" t="str">
        <x:v>FIN_DOC_*</x:v>
      </x:c>
      <x:c r="M22" s="12" t="str">
        <x:v>P0</x:v>
      </x:c>
      <x:c r="N22" s="12" t="str">
        <x:v>06</x:v>
      </x:c>
      <x:c r="O22" s="12" t="str">
        <x:v>Chờ</x:v>
      </x:c>
    </x:row>
    <x:row r="23" ht="15" hidden="0" customHeight="1">
      <x:c r="A23" s="12" t="str">
        <x:v>D07</x:v>
      </x:c>
      <x:c r="B23" s="12" t="str">
        <x:v>Chứng từ tài chính</x:v>
      </x:c>
      <x:c r="C23" s="12" t="str">
        <x:v>Matching</x:v>
      </x:c>
      <x:c r="D23" s="12" t="str">
        <x:v>Match document to cost/revenue/ref</x:v>
      </x:c>
      <x:c r="E23" s="12" t="str">
        <x:v>Finance</x:v>
      </x:c>
      <x:c r="F23" s="12" t="str">
        <x:v>Document + candidate</x:v>
      </x:c>
      <x:c r="G23" s="12" t="str">
        <x:v>Match result</x:v>
      </x:c>
      <x:c r="H23" s="12" t="str">
        <x:v>FIN-MATCH</x:v>
      </x:c>
      <x:c r="I23" s="12" t="str">
        <x:v>UI-06</x:v>
      </x:c>
      <x:c r="J23" s="12" t="str">
        <x:v>document_matches</x:v>
      </x:c>
      <x:c r="K23" s="12" t="str">
        <x:v>Workflow</x:v>
      </x:c>
      <x:c r="L23" s="12" t="str">
        <x:v>FIN_MATCH</x:v>
      </x:c>
      <x:c r="M23" s="12" t="str">
        <x:v>P0</x:v>
      </x:c>
      <x:c r="N23" s="12" t="str">
        <x:v>06</x:v>
      </x:c>
      <x:c r="O23" s="12" t="str">
        <x:v>Chờ</x:v>
      </x:c>
    </x:row>
    <x:row r="24" ht="15" hidden="0" customHeight="1">
      <x:c r="A24" s="12" t="str">
        <x:v>D08</x:v>
      </x:c>
      <x:c r="B24" s="12" t="str">
        <x:v>AP/AR</x:v>
      </x:c>
      <x:c r="C24" s="12" t="str">
        <x:v>AP Recognition</x:v>
      </x:c>
      <x:c r="D24" s="12" t="str">
        <x:v>Recognize payable from evidence/policy</x:v>
      </x:c>
      <x:c r="E24" s="12" t="str">
        <x:v>Finance</x:v>
      </x:c>
      <x:c r="F24" s="12" t="str">
        <x:v>Cost/document</x:v>
      </x:c>
      <x:c r="G24" s="12" t="str">
        <x:v>AP exposure</x:v>
      </x:c>
      <x:c r="H24" s="12" t="str">
        <x:v>AP-REC</x:v>
      </x:c>
      <x:c r="I24" s="12" t="str">
        <x:v>UI-07</x:v>
      </x:c>
      <x:c r="J24" s="12" t="str">
        <x:v>AP domain</x:v>
      </x:c>
      <x:c r="K24" s="12" t="str">
        <x:v>System/Workflow</x:v>
      </x:c>
      <x:c r="L24" s="12" t="str">
        <x:v>AP_*</x:v>
      </x:c>
      <x:c r="M24" s="12" t="str">
        <x:v>P0</x:v>
      </x:c>
      <x:c r="N24" s="12" t="str">
        <x:v>06</x:v>
      </x:c>
      <x:c r="O24" s="12" t="str">
        <x:v>Chờ</x:v>
      </x:c>
    </x:row>
    <x:row r="25" ht="15" hidden="0" customHeight="1">
      <x:c r="A25" s="12" t="str">
        <x:v>D08</x:v>
      </x:c>
      <x:c r="B25" s="12" t="str">
        <x:v>AP/AR</x:v>
      </x:c>
      <x:c r="C25" s="12" t="str">
        <x:v>AR Recognition</x:v>
      </x:c>
      <x:c r="D25" s="12" t="str">
        <x:v>Recognize receivable from evidence/policy</x:v>
      </x:c>
      <x:c r="E25" s="12" t="str">
        <x:v>Finance</x:v>
      </x:c>
      <x:c r="F25" s="12" t="str">
        <x:v>Revenue/document</x:v>
      </x:c>
      <x:c r="G25" s="12" t="str">
        <x:v>AR exposure</x:v>
      </x:c>
      <x:c r="H25" s="12" t="str">
        <x:v>AR-REC</x:v>
      </x:c>
      <x:c r="I25" s="12" t="str">
        <x:v>UI-08</x:v>
      </x:c>
      <x:c r="J25" s="12" t="str">
        <x:v>AR domain</x:v>
      </x:c>
      <x:c r="K25" s="12" t="str">
        <x:v>System/Workflow</x:v>
      </x:c>
      <x:c r="L25" s="12" t="str">
        <x:v>AR_*</x:v>
      </x:c>
      <x:c r="M25" s="12" t="str">
        <x:v>P0</x:v>
      </x:c>
      <x:c r="N25" s="12" t="str">
        <x:v>06</x:v>
      </x:c>
      <x:c r="O25" s="12" t="str">
        <x:v>Chờ</x:v>
      </x:c>
    </x:row>
    <x:row r="26" ht="15" hidden="0" customHeight="1">
      <x:c r="A26" s="12" t="str">
        <x:v>D09</x:v>
      </x:c>
      <x:c r="B26" s="12" t="str">
        <x:v>Thanh toán &amp; Thu tiền</x:v>
      </x:c>
      <x:c r="C26" s="12" t="str">
        <x:v>Payment</x:v>
      </x:c>
      <x:c r="D26" s="12" t="str">
        <x:v>Ghi nhận payment và settlement</x:v>
      </x:c>
      <x:c r="E26" s="12" t="str">
        <x:v>Finance</x:v>
      </x:c>
      <x:c r="F26" s="12" t="str">
        <x:v>Payment transaction</x:v>
      </x:c>
      <x:c r="G26" s="12" t="str">
        <x:v>AP settlement</x:v>
      </x:c>
      <x:c r="H26" s="12" t="str">
        <x:v>PAY</x:v>
      </x:c>
      <x:c r="I26" s="12" t="str">
        <x:v>UI-09</x:v>
      </x:c>
      <x:c r="J26" s="12" t="str">
        <x:v>payments</x:v>
      </x:c>
      <x:c r="K26" s="12" t="str">
        <x:v>Manual/Import/API</x:v>
      </x:c>
      <x:c r="L26" s="12" t="str">
        <x:v>PAYMENT_*</x:v>
      </x:c>
      <x:c r="M26" s="12" t="str">
        <x:v>P0</x:v>
      </x:c>
      <x:c r="N26" s="12" t="str">
        <x:v>07</x:v>
      </x:c>
      <x:c r="O26" s="12" t="str">
        <x:v>Chờ</x:v>
      </x:c>
    </x:row>
    <x:row r="27" ht="15" hidden="0" customHeight="1">
      <x:c r="A27" s="12" t="str">
        <x:v>D09</x:v>
      </x:c>
      <x:c r="B27" s="12" t="str">
        <x:v>Thanh toán &amp; Thu tiền</x:v>
      </x:c>
      <x:c r="C27" s="12" t="str">
        <x:v>Collection</x:v>
      </x:c>
      <x:c r="D27" s="12" t="str">
        <x:v>Ghi nhận collection và settlement</x:v>
      </x:c>
      <x:c r="E27" s="12" t="str">
        <x:v>Finance</x:v>
      </x:c>
      <x:c r="F27" s="12" t="str">
        <x:v>Collection transaction</x:v>
      </x:c>
      <x:c r="G27" s="12" t="str">
        <x:v>AR settlement</x:v>
      </x:c>
      <x:c r="H27" s="12" t="str">
        <x:v>COLL</x:v>
      </x:c>
      <x:c r="I27" s="12" t="str">
        <x:v>UI-09</x:v>
      </x:c>
      <x:c r="J27" s="12" t="str">
        <x:v>collections</x:v>
      </x:c>
      <x:c r="K27" s="12" t="str">
        <x:v>Manual/Import/API</x:v>
      </x:c>
      <x:c r="L27" s="12" t="str">
        <x:v>COLLECTION_*</x:v>
      </x:c>
      <x:c r="M27" s="12" t="str">
        <x:v>P0</x:v>
      </x:c>
      <x:c r="N27" s="12" t="str">
        <x:v>07</x:v>
      </x:c>
      <x:c r="O27" s="12" t="str">
        <x:v>Chờ</x:v>
      </x:c>
    </x:row>
    <x:row r="28" ht="15" hidden="0" customHeight="1">
      <x:c r="A28" s="12" t="str">
        <x:v>D10</x:v>
      </x:c>
      <x:c r="B28" s="12" t="str">
        <x:v>Kiểm soát tài chính</x:v>
      </x:c>
      <x:c r="C28" s="12" t="str">
        <x:v>Reconciliation</x:v>
      </x:c>
      <x:c r="D28" s="12" t="str">
        <x:v>Đối soát expected/actual/document/cash</x:v>
      </x:c>
      <x:c r="E28" s="12" t="str">
        <x:v>Finance Control</x:v>
      </x:c>
      <x:c r="F28" s="12" t="str">
        <x:v>Financial facts</x:v>
      </x:c>
      <x:c r="G28" s="12" t="str">
        <x:v>Recon result</x:v>
      </x:c>
      <x:c r="H28" s="12" t="str">
        <x:v>RECON</x:v>
      </x:c>
      <x:c r="I28" s="12" t="str">
        <x:v>UI-10</x:v>
      </x:c>
      <x:c r="J28" s="12" t="str">
        <x:v>reconciliation</x:v>
      </x:c>
      <x:c r="K28" s="12" t="str">
        <x:v>System/Workflow</x:v>
      </x:c>
      <x:c r="L28" s="12" t="str">
        <x:v>RECON_*</x:v>
      </x:c>
      <x:c r="M28" s="12" t="str">
        <x:v>P0</x:v>
      </x:c>
      <x:c r="N28" s="12" t="str">
        <x:v>07</x:v>
      </x:c>
      <x:c r="O28" s="12" t="str">
        <x:v>Chờ</x:v>
      </x:c>
    </x:row>
    <x:row r="29" ht="15" hidden="0" customHeight="1">
      <x:c r="A29" s="12" t="str">
        <x:v>D10</x:v>
      </x:c>
      <x:c r="B29" s="12" t="str">
        <x:v>Kiểm soát tài chính</x:v>
      </x:c>
      <x:c r="C29" s="12" t="str">
        <x:v>Variance/Exception</x:v>
      </x:c>
      <x:c r="D29" s="12" t="str">
        <x:v>Phát hiện chênh lệch/ngoại lệ</x:v>
      </x:c>
      <x:c r="E29" s="12" t="str">
        <x:v>Finance Control</x:v>
      </x:c>
      <x:c r="F29" s="12" t="str">
        <x:v>Policy+facts</x:v>
      </x:c>
      <x:c r="G29" s="12" t="str">
        <x:v>Exception</x:v>
      </x:c>
      <x:c r="H29" s="12" t="str">
        <x:v>EXC</x:v>
      </x:c>
      <x:c r="I29" s="12" t="str">
        <x:v>UI-10</x:v>
      </x:c>
      <x:c r="J29" s="12" t="str">
        <x:v>exceptions</x:v>
      </x:c>
      <x:c r="K29" s="12" t="str">
        <x:v>System</x:v>
      </x:c>
      <x:c r="L29" s="12" t="str">
        <x:v>EXCEPTION_*</x:v>
      </x:c>
      <x:c r="M29" s="12" t="str">
        <x:v>P0</x:v>
      </x:c>
      <x:c r="N29" s="12" t="str">
        <x:v>07</x:v>
      </x:c>
      <x:c r="O29" s="12" t="str">
        <x:v>Chờ</x:v>
      </x:c>
    </x:row>
    <x:row r="30" ht="15" hidden="0" customHeight="1">
      <x:c r="A30" s="12" t="str">
        <x:v>D10</x:v>
      </x:c>
      <x:c r="B30" s="12" t="str">
        <x:v>Kiểm soát tài chính</x:v>
      </x:c>
      <x:c r="C30" s="12" t="str">
        <x:v>Approval</x:v>
      </x:c>
      <x:c r="D30" s="12" t="str">
        <x:v>Phê duyệt exception/override/adjustment</x:v>
      </x:c>
      <x:c r="E30" s="12" t="str">
        <x:v>Approver</x:v>
      </x:c>
      <x:c r="F30" s="12" t="str">
        <x:v>Approval request</x:v>
      </x:c>
      <x:c r="G30" s="12" t="str">
        <x:v>Decision</x:v>
      </x:c>
      <x:c r="H30" s="12" t="str">
        <x:v>APPROVAL</x:v>
      </x:c>
      <x:c r="I30" s="12" t="str">
        <x:v>UI-10</x:v>
      </x:c>
      <x:c r="J30" s="12" t="str">
        <x:v>approvals</x:v>
      </x:c>
      <x:c r="K30" s="12" t="str">
        <x:v>Workflow</x:v>
      </x:c>
      <x:c r="L30" s="12" t="str">
        <x:v>APPROVE_*</x:v>
      </x:c>
      <x:c r="M30" s="12" t="str">
        <x:v>P0</x:v>
      </x:c>
      <x:c r="N30" s="12" t="str">
        <x:v>07</x:v>
      </x:c>
      <x:c r="O30" s="12" t="str">
        <x:v>Chờ</x:v>
      </x:c>
    </x:row>
    <x:row r="31" ht="15" hidden="0" customHeight="1">
      <x:c r="A31" s="12" t="str">
        <x:v>D11</x:v>
      </x:c>
      <x:c r="B31" s="12" t="str">
        <x:v>Chốt tài chính</x:v>
      </x:c>
      <x:c r="C31" s="12" t="str">
        <x:v>Financial Close</x:v>
      </x:c>
      <x:c r="D31" s="12" t="str">
        <x:v>Close/reopen theo policy</x:v>
      </x:c>
      <x:c r="E31" s="12" t="str">
        <x:v>Finance Control</x:v>
      </x:c>
      <x:c r="F31" s="12" t="str">
        <x:v>Eligible scope</x:v>
      </x:c>
      <x:c r="G31" s="12" t="str">
        <x:v>Closed scope</x:v>
      </x:c>
      <x:c r="H31" s="12" t="str">
        <x:v>CLOSE</x:v>
      </x:c>
      <x:c r="I31" s="12" t="str">
        <x:v>UI-11</x:v>
      </x:c>
      <x:c r="J31" s="12" t="str">
        <x:v>financial_close</x:v>
      </x:c>
      <x:c r="K31" s="12" t="str">
        <x:v>Command/Workflow</x:v>
      </x:c>
      <x:c r="L31" s="12" t="str">
        <x:v>FIN_CLOSE</x:v>
      </x:c>
      <x:c r="M31" s="12" t="str">
        <x:v>P0</x:v>
      </x:c>
      <x:c r="N31" s="12" t="str">
        <x:v>08</x:v>
      </x:c>
      <x:c r="O31" s="12" t="str">
        <x:v>Chờ</x:v>
      </x:c>
    </x:row>
    <x:row r="32" ht="15" hidden="0" customHeight="1">
      <x:c r="A32" s="12" t="str">
        <x:v>D11</x:v>
      </x:c>
      <x:c r="B32" s="12" t="str">
        <x:v>Chốt tài chính</x:v>
      </x:c>
      <x:c r="C32" s="12" t="str">
        <x:v>Snapshot</x:v>
      </x:c>
      <x:c r="D32" s="12" t="str">
        <x:v>Immutable close snapshot</x:v>
      </x:c>
      <x:c r="E32" s="12" t="str">
        <x:v>System</x:v>
      </x:c>
      <x:c r="F32" s="12" t="str">
        <x:v>Close state</x:v>
      </x:c>
      <x:c r="G32" s="12" t="str">
        <x:v>Snapshot</x:v>
      </x:c>
      <x:c r="H32" s="12" t="str">
        <x:v>SNAPSHOT</x:v>
      </x:c>
      <x:c r="I32" s="12" t="str">
        <x:v>UI-11</x:v>
      </x:c>
      <x:c r="J32" s="12" t="str">
        <x:v>close_snapshots</x:v>
      </x:c>
      <x:c r="K32" s="12" t="str">
        <x:v>System</x:v>
      </x:c>
      <x:c r="L32" s="12" t="str">
        <x:v>FIN_CLOSE</x:v>
      </x:c>
      <x:c r="M32" s="12" t="str">
        <x:v>P0</x:v>
      </x:c>
      <x:c r="N32" s="12" t="str">
        <x:v>08</x:v>
      </x:c>
      <x:c r="O32" s="12" t="str">
        <x:v>Chờ</x:v>
      </x:c>
    </x:row>
    <x:row r="33" ht="15" hidden="0" customHeight="1">
      <x:c r="A33" s="12" t="str">
        <x:v>D12</x:v>
      </x:c>
      <x:c r="B33" s="12" t="str">
        <x:v>Tích hợp &amp; Audit</x:v>
      </x:c>
      <x:c r="C33" s="12" t="str">
        <x:v>Integration</x:v>
      </x:c>
      <x:c r="D33" s="12" t="str">
        <x:v>API/import/idempotency/error/outbox</x:v>
      </x:c>
      <x:c r="E33" s="12" t="str">
        <x:v>Integration/System</x:v>
      </x:c>
      <x:c r="F33" s="12" t="str">
        <x:v>External payload</x:v>
      </x:c>
      <x:c r="G33" s="12" t="str">
        <x:v>Canonical data/error</x:v>
      </x:c>
      <x:c r="H33" s="12" t="str">
        <x:v>INT</x:v>
      </x:c>
      <x:c r="I33" s="12" t="str">
        <x:v>UI-14</x:v>
      </x:c>
      <x:c r="J33" s="12" t="str">
        <x:v>integration_records/errors</x:v>
      </x:c>
      <x:c r="K33" s="12" t="str">
        <x:v>API/Import</x:v>
      </x:c>
      <x:c r="L33" s="12" t="str">
        <x:v>INTEGRATION_*</x:v>
      </x:c>
      <x:c r="M33" s="12" t="str">
        <x:v>P0</x:v>
      </x:c>
      <x:c r="N33" s="12" t="str">
        <x:v>09</x:v>
      </x:c>
      <x:c r="O33" s="12" t="str">
        <x:v>Chờ</x:v>
      </x:c>
    </x:row>
    <x:row r="34" ht="15" hidden="0" customHeight="1">
      <x:c r="A34" s="12" t="str">
        <x:v>D12</x:v>
      </x:c>
      <x:c r="B34" s="12" t="str">
        <x:v>Tích hợp &amp; Audit</x:v>
      </x:c>
      <x:c r="C34" s="12" t="str">
        <x:v>Audit Trail</x:v>
      </x:c>
      <x:c r="D34" s="12" t="str">
        <x:v>Ai/lúc nào/thay đổi gì/nguồn nào</x:v>
      </x:c>
      <x:c r="E34" s="12" t="str">
        <x:v>System/Auditor</x:v>
      </x:c>
      <x:c r="F34" s="12" t="str">
        <x:v>Domain event/change</x:v>
      </x:c>
      <x:c r="G34" s="12" t="str">
        <x:v>Audit record</x:v>
      </x:c>
      <x:c r="H34" s="12" t="str">
        <x:v>AUDIT</x:v>
      </x:c>
      <x:c r="I34" s="12" t="str">
        <x:v>UI-14</x:v>
      </x:c>
      <x:c r="J34" s="12" t="str">
        <x:v>audit</x:v>
      </x:c>
      <x:c r="K34" s="12" t="str">
        <x:v>System</x:v>
      </x:c>
      <x:c r="L34" s="12" t="str">
        <x:v>AUDIT_VIEW</x:v>
      </x:c>
      <x:c r="M34" s="12" t="str">
        <x:v>P0</x:v>
      </x:c>
      <x:c r="N34" s="12" t="str">
        <x:v>09</x:v>
      </x:c>
      <x:c r="O34" s="12" t="str">
        <x:v>Chờ</x:v>
      </x:c>
    </x:row>
    <x:row r="35" ht="15" hidden="0" customHeight="1">
      <x:c r="A35" s="12" t="str">
        <x:v>X01</x:v>
      </x:c>
      <x:c r="B35" s="12" t="str">
        <x:v>Báo cáo &amp; Phân tích</x:v>
      </x:c>
      <x:c r="C35" s="12" t="str">
        <x:v>Dashboard</x:v>
      </x:c>
      <x:c r="D35" s="12" t="str">
        <x:v>KPI/attention/recent financial view</x:v>
      </x:c>
      <x:c r="E35" s="12" t="str">
        <x:v>Management/Finance</x:v>
      </x:c>
      <x:c r="F35" s="12" t="str">
        <x:v>Aggregates</x:v>
      </x:c>
      <x:c r="G35" s="12" t="str">
        <x:v>Dashboard</x:v>
      </x:c>
      <x:c r="H35" s="12" t="str">
        <x:v>REPORT-DASH</x:v>
      </x:c>
      <x:c r="I35" s="12" t="str">
        <x:v>UI-01</x:v>
      </x:c>
      <x:c r="J35" s="12" t="str">
        <x:v>Read model</x:v>
      </x:c>
      <x:c r="K35" s="12" t="str">
        <x:v>System</x:v>
      </x:c>
      <x:c r="L35" s="12" t="str">
        <x:v>DASHBOARD_VIEW</x:v>
      </x:c>
      <x:c r="M35" s="12" t="str">
        <x:v>P0</x:v>
      </x:c>
      <x:c r="N35" s="12" t="str">
        <x:v>01A/UI</x:v>
      </x:c>
      <x:c r="O35" s="12" t="str">
        <x:v>HTML đã có</x:v>
      </x:c>
    </x:row>
    <x:row r="36" ht="15" hidden="0" customHeight="1">
      <x:c r="A36" s="12" t="str">
        <x:v>X01</x:v>
      </x:c>
      <x:c r="B36" s="12" t="str">
        <x:v>Báo cáo &amp; Phân tích</x:v>
      </x:c>
      <x:c r="C36" s="12" t="str">
        <x:v>Reports</x:v>
      </x:c>
      <x:c r="D36" s="12" t="str">
        <x:v>Cost/Revenue/Profit/AP/AR/Variance</x:v>
      </x:c>
      <x:c r="E36" s="12" t="str">
        <x:v>Management</x:v>
      </x:c>
      <x:c r="F36" s="12" t="str">
        <x:v>Financial data</x:v>
      </x:c>
      <x:c r="G36" s="12" t="str">
        <x:v>Reports/export</x:v>
      </x:c>
      <x:c r="H36" s="12" t="str">
        <x:v>REPORT</x:v>
      </x:c>
      <x:c r="I36" s="12" t="str">
        <x:v>UI-12</x:v>
      </x:c>
      <x:c r="J36" s="12" t="str">
        <x:v>Read model</x:v>
      </x:c>
      <x:c r="K36" s="12" t="str">
        <x:v>System</x:v>
      </x:c>
      <x:c r="L36" s="12" t="str">
        <x:v>REPORT_VIEW</x:v>
      </x:c>
      <x:c r="M36" s="12" t="str">
        <x:v>P1</x:v>
      </x:c>
      <x:c r="N36" s="12" t="str">
        <x:v>08</x:v>
      </x:c>
      <x:c r="O36" s="12" t="str">
        <x:v>Chờ</x:v>
      </x:c>
    </x:row>
    <x:row r="37" ht="15" hidden="0" customHeight="1">
      <x:c r="A37" s="12" t="str">
        <x:v>X02</x:v>
      </x:c>
      <x:c r="B37" s="12" t="str">
        <x:v>Hệ thống &amp; Cài đặt</x:v>
      </x:c>
      <x:c r="C37" s="12" t="str">
        <x:v>User/Role/Permission</x:v>
      </x:c>
      <x:c r="D37" s="12" t="str">
        <x:v>RBAC + Data Scope</x:v>
      </x:c>
      <x:c r="E37" s="12" t="str">
        <x:v>Admin</x:v>
      </x:c>
      <x:c r="F37" s="12" t="str">
        <x:v>User/role/policy</x:v>
      </x:c>
      <x:c r="G37" s="12" t="str">
        <x:v>Access control</x:v>
      </x:c>
      <x:c r="H37" s="12" t="str">
        <x:v>SEC-RBAC</x:v>
      </x:c>
      <x:c r="I37" s="12" t="str">
        <x:v>UI-14</x:v>
      </x:c>
      <x:c r="J37" s="12" t="str">
        <x:v>security</x:v>
      </x:c>
      <x:c r="K37" s="12" t="str">
        <x:v>Admin/API</x:v>
      </x:c>
      <x:c r="L37" s="12" t="str">
        <x:v>SECURITY_ADMIN</x:v>
      </x:c>
      <x:c r="M37" s="12" t="str">
        <x:v>P0</x:v>
      </x:c>
      <x:c r="N37" s="12" t="str">
        <x:v>09</x:v>
      </x:c>
      <x:c r="O37" s="12" t="str">
        <x:v>Chờ</x:v>
      </x:c>
    </x:row>
  </x:sheetData>
  <x:conditionalFormatting sqref="O2:O200">
    <x:cfRule type="expression" dxfId="0" priority="1">
      <x:formula>O2="DONE"</x:formula>
    </x:cfRule>
    <x:cfRule type="expression" dxfId="1" priority="2">
      <x:formula>O2="MISSING"</x:formula>
    </x:cfRule>
    <x:cfRule type="expression" dxfId="2" priority="3">
      <x:formula>O2="SAI KIẾN TRÚC"</x:formula>
    </x:cfRule>
  </x:conditionalFormatting>
  <x:dataValidations count="2">
    <x:dataValidation type="list" sqref="M2:M200">
      <x:formula1>"P0,P1,P2"</x:formula1>
    </x:dataValidation>
    <x:dataValidation type="list" sqref="O2:O200">
      <x:formula1>"Chưa triển khai/DEV cập nhật,Đang làm,DONE,PARTIAL,MISSING,SAI KIẾN TRÚC,Chờ File 04,Chờ"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28" hidden="0" customWidth="1"/>
    <x:col min="4" max="4" width="30" hidden="0" customWidth="1"/>
    <x:col min="5" max="5" width="14" hidden="0" customWidth="1"/>
    <x:col min="6" max="6" width="18" hidden="0" customWidth="1"/>
  </x:cols>
  <x:sheetData>
    <x:row r="1" ht="15" hidden="0" customHeight="1">
      <x:c r="A1" s="6" t="str">
        <x:v>ID</x:v>
      </x:c>
      <x:c r="B1" s="6" t="str">
        <x:v>Coverage Requirement</x:v>
      </x:c>
      <x:c r="C1" s="6" t="str">
        <x:v>Evidence/Spec</x:v>
      </x:c>
      <x:c r="D1" s="6" t="str">
        <x:v>Mapped Scope</x:v>
      </x:c>
      <x:c r="E1" s="6" t="str">
        <x:v>Priority</x:v>
      </x:c>
      <x:c r="F1" s="6" t="str">
        <x:v>Status</x:v>
      </x:c>
    </x:row>
    <x:row r="2" ht="15" hidden="0" customHeight="1">
      <x:c r="A2" s="12" t="str">
        <x:v>COV-01</x:v>
      </x:c>
      <x:c r="B2" s="12" t="str">
        <x:v>D01–D12 có owner/module/function rõ</x:v>
      </x:c>
      <x:c r="C2" s="12" t="str">
        <x:v>01A + 01B</x:v>
      </x:c>
      <x:c r="D2" s="12" t="str">
        <x:v>Functional Catalogue</x:v>
      </x:c>
      <x:c r="E2" s="12" t="str">
        <x:v>P0</x:v>
      </x:c>
      <x:c r="F2" s="12" t="str">
        <x:v>BASELINE</x:v>
      </x:c>
    </x:row>
    <x:row r="3" ht="15" hidden="0" customHeight="1">
      <x:c r="A3" s="12" t="str">
        <x:v>COV-02</x:v>
      </x:c>
      <x:c r="B3" s="12" t="str">
        <x:v>Operational Reference field/relationship/SoT đủ</x:v>
      </x:c>
      <x:c r="C3" s="12" t="str">
        <x:v>02A + 02B</x:v>
      </x:c>
      <x:c r="D3" s="12" t="str">
        <x:v>D02/D03 rows</x:v>
      </x:c>
      <x:c r="E3" s="12" t="str">
        <x:v>P0</x:v>
      </x:c>
      <x:c r="F3" s="12" t="str">
        <x:v>PACKAGED</x:v>
      </x:c>
    </x:row>
    <x:row r="4" ht="15" hidden="0" customHeight="1">
      <x:c r="A4" s="12" t="str">
        <x:v>COV-03</x:v>
      </x:c>
      <x:c r="B4" s="12" t="str">
        <x:v>Rating algorithms không còn mơ hồ</x:v>
      </x:c>
      <x:c r="C4" s="12" t="str">
        <x:v>03A + 03B</x:v>
      </x:c>
      <x:c r="D4" s="12" t="str">
        <x:v>D04 rows</x:v>
      </x:c>
      <x:c r="E4" s="12" t="str">
        <x:v>P0</x:v>
      </x:c>
      <x:c r="F4" s="12" t="str">
        <x:v>PACKAGED</x:v>
      </x:c>
    </x:row>
    <x:row r="5" ht="15" hidden="0" customHeight="1">
      <x:c r="A5" s="12" t="str">
        <x:v>COV-04</x:v>
      </x:c>
      <x:c r="B5" s="12" t="str">
        <x:v>Cost capture/allocation/adjustment</x:v>
      </x:c>
      <x:c r="C5" s="12" t="str">
        <x:v>04A + 04B</x:v>
      </x:c>
      <x:c r="D5" s="12" t="str">
        <x:v>D05 rows</x:v>
      </x:c>
      <x:c r="E5" s="12" t="str">
        <x:v>P0</x:v>
      </x:c>
      <x:c r="F5" s="12" t="str">
        <x:v>PENDING</x:v>
      </x:c>
    </x:row>
    <x:row r="6" ht="15" hidden="0" customHeight="1">
      <x:c r="A6" s="12" t="str">
        <x:v>COV-05</x:v>
      </x:c>
      <x:c r="B6" s="12" t="str">
        <x:v>Revenue/profitability</x:v>
      </x:c>
      <x:c r="C6" s="12" t="str">
        <x:v>05</x:v>
      </x:c>
      <x:c r="D6" s="12" t="str">
        <x:v>D06 rows</x:v>
      </x:c>
      <x:c r="E6" s="12" t="str">
        <x:v>P0</x:v>
      </x:c>
      <x:c r="F6" s="12" t="str">
        <x:v>PENDING</x:v>
      </x:c>
    </x:row>
    <x:row r="7" ht="15" hidden="0" customHeight="1">
      <x:c r="A7" s="12" t="str">
        <x:v>COV-06</x:v>
      </x:c>
      <x:c r="B7" s="12" t="str">
        <x:v>Documents/AP/AR</x:v>
      </x:c>
      <x:c r="C7" s="12" t="str">
        <x:v>06</x:v>
      </x:c>
      <x:c r="D7" s="12" t="str">
        <x:v>D07/D08 rows</x:v>
      </x:c>
      <x:c r="E7" s="12" t="str">
        <x:v>P0</x:v>
      </x:c>
      <x:c r="F7" s="12" t="str">
        <x:v>PENDING</x:v>
      </x:c>
    </x:row>
    <x:row r="8" ht="15" hidden="0" customHeight="1">
      <x:c r="A8" s="12" t="str">
        <x:v>COV-07</x:v>
      </x:c>
      <x:c r="B8" s="12" t="str">
        <x:v>Payment/Collection/Reconciliation/Approval</x:v>
      </x:c>
      <x:c r="C8" s="12" t="str">
        <x:v>07</x:v>
      </x:c>
      <x:c r="D8" s="12" t="str">
        <x:v>D09/D10 rows</x:v>
      </x:c>
      <x:c r="E8" s="12" t="str">
        <x:v>P0</x:v>
      </x:c>
      <x:c r="F8" s="12" t="str">
        <x:v>PENDING</x:v>
      </x:c>
    </x:row>
    <x:row r="9" ht="15" hidden="0" customHeight="1">
      <x:c r="A9" s="12" t="str">
        <x:v>COV-08</x:v>
      </x:c>
      <x:c r="B9" s="12" t="str">
        <x:v>Close/Reporting</x:v>
      </x:c>
      <x:c r="C9" s="12" t="str">
        <x:v>08</x:v>
      </x:c>
      <x:c r="D9" s="12" t="str">
        <x:v>D11/X01 rows</x:v>
      </x:c>
      <x:c r="E9" s="12" t="str">
        <x:v>P0</x:v>
      </x:c>
      <x:c r="F9" s="12" t="str">
        <x:v>PENDING</x:v>
      </x:c>
    </x:row>
    <x:row r="10" ht="15" hidden="0" customHeight="1">
      <x:c r="A10" s="12" t="str">
        <x:v>COV-09</x:v>
      </x:c>
      <x:c r="B10" s="12" t="str">
        <x:v>Integration/Security/Audit/NFR</x:v>
      </x:c>
      <x:c r="C10" s="12" t="str">
        <x:v>09</x:v>
      </x:c>
      <x:c r="D10" s="12" t="str">
        <x:v>D12/X02 rows</x:v>
      </x:c>
      <x:c r="E10" s="12" t="str">
        <x:v>P0</x:v>
      </x:c>
      <x:c r="F10" s="12" t="str">
        <x:v>PENDING</x:v>
      </x:c>
    </x:row>
    <x:row r="11" ht="15" hidden="0" customHeight="1">
      <x:c r="A11" s="12" t="str">
        <x:v>COV-10</x:v>
      </x:c>
      <x:c r="B11" s="12" t="str">
        <x:v>UI terminology/navigation matches approved baseline</x:v>
      </x:c>
      <x:c r="C11" s="12" t="str">
        <x:v>UI package + CP6.5</x:v>
      </x:c>
      <x:c r="D11" s="12" t="str">
        <x:v>UI column</x:v>
      </x:c>
      <x:c r="E11" s="12" t="str">
        <x:v>P0</x:v>
      </x:c>
      <x:c r="F11" s="12" t="str">
        <x:v>BASELINE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75" hidden="0" customWidth="1"/>
    <x:col min="4" max="4" width="45" hidden="0" customWidth="1"/>
    <x:col min="5" max="5" width="25" hidden="0" customWidth="1"/>
    <x:col min="6" max="6" width="12" hidden="0" customWidth="1"/>
  </x:cols>
  <x:sheetData>
    <x:row r="1" ht="15" hidden="0" customHeight="1">
      <x:c r="A1" s="6" t="str">
        <x:v>ID</x:v>
      </x:c>
      <x:c r="B1" s="6" t="str">
        <x:v>Flow</x:v>
      </x:c>
      <x:c r="C1" s="6" t="str">
        <x:v>Steps</x:v>
      </x:c>
      <x:c r="D1" s="6" t="str">
        <x:v>Invariant</x:v>
      </x:c>
      <x:c r="E1" s="6" t="str">
        <x:v>Domains</x:v>
      </x:c>
      <x:c r="F1" s="6" t="str">
        <x:v>Priority</x:v>
      </x:c>
    </x:row>
    <x:row r="2" ht="15" hidden="0" customHeight="1">
      <x:c r="A2" s="12" t="str">
        <x:v>E2E-01</x:v>
      </x:c>
      <x:c r="B2" s="12" t="str">
        <x:v>Standalone order-to-profit</x:v>
      </x:c>
      <x:c r="C2" s="12" t="str">
        <x:v>Master/Party → Order → Bill → Rating SELL/BUY → Expected Revenue/Cost → Profit</x:v>
      </x:c>
      <x:c r="D2" s="12" t="str">
        <x:v>Manual tenant không cần API</x:v>
      </x:c>
      <x:c r="E2" s="12" t="str">
        <x:v>D02,D03,D04,D05,D06</x:v>
      </x:c>
      <x:c r="F2" s="12" t="str">
        <x:v>P0</x:v>
      </x:c>
    </x:row>
    <x:row r="3" ht="15" hidden="0" customHeight="1">
      <x:c r="A3" s="12" t="str">
        <x:v>E2E-02</x:v>
      </x:c>
      <x:c r="B3" s="12" t="str">
        <x:v>Operational sync-to-finance</x:v>
      </x:c>
      <x:c r="C3" s="12" t="str">
        <x:v>API Operational Reference → Bill graph → Rating/Cost/Revenue</x:v>
      </x:c>
      <x:c r="D3" s="12" t="str">
        <x:v>External Ops là SoT</x:v>
      </x:c>
      <x:c r="E3" s="12" t="str">
        <x:v>D03,D04,D12</x:v>
      </x:c>
      <x:c r="F3" s="12" t="str">
        <x:v>P0</x:v>
      </x:c>
    </x:row>
    <x:row r="4" ht="15" hidden="0" customHeight="1">
      <x:c r="A4" s="12" t="str">
        <x:v>E2E-03</x:v>
      </x:c>
      <x:c r="B4" s="12" t="str">
        <x:v>Shared cost allocation</x:v>
      </x:c>
      <x:c r="C4" s="12" t="str">
        <x:v>Shipment/Leg/Movement Cost → eligible Bills → basis → allocation → finalize</x:v>
      </x:c>
      <x:c r="D4" s="12" t="str">
        <x:v>Conservation + audit</x:v>
      </x:c>
      <x:c r="E4" s="12" t="str">
        <x:v>D03,D05</x:v>
      </x:c>
      <x:c r="F4" s="12" t="str">
        <x:v>P0</x:v>
      </x:c>
    </x:row>
    <x:row r="5" ht="15" hidden="0" customHeight="1">
      <x:c r="A5" s="12" t="str">
        <x:v>E2E-04</x:v>
      </x:c>
      <x:c r="B5" s="12" t="str">
        <x:v>Supplier actual-to-AP</x:v>
      </x:c>
      <x:c r="C5" s="12" t="str">
        <x:v>Supplier document → match cost → actual/confirmed → AP → payment</x:v>
      </x:c>
      <x:c r="D5" s="12" t="str">
        <x:v>No overwrite expected</x:v>
      </x:c>
      <x:c r="E5" s="12" t="str">
        <x:v>D05,D07,D08,D09</x:v>
      </x:c>
      <x:c r="F5" s="12" t="str">
        <x:v>P0</x:v>
      </x:c>
    </x:row>
    <x:row r="6" ht="15" hidden="0" customHeight="1">
      <x:c r="A6" s="12" t="str">
        <x:v>E2E-05</x:v>
      </x:c>
      <x:c r="B6" s="12" t="str">
        <x:v>Customer revenue-to-AR</x:v>
      </x:c>
      <x:c r="C6" s="12" t="str">
        <x:v>Revenue/document → AR → collection</x:v>
      </x:c>
      <x:c r="D6" s="12" t="str">
        <x:v>No overwrite expected</x:v>
      </x:c>
      <x:c r="E6" s="12" t="str">
        <x:v>D06,D07,D08,D09</x:v>
      </x:c>
      <x:c r="F6" s="12" t="str">
        <x:v>P0</x:v>
      </x:c>
    </x:row>
    <x:row r="7" ht="15" hidden="0" customHeight="1">
      <x:c r="A7" s="12" t="str">
        <x:v>E2E-06</x:v>
      </x:c>
      <x:c r="B7" s="12" t="str">
        <x:v>Financial control</x:v>
      </x:c>
      <x:c r="C7" s="12" t="str">
        <x:v>Expected vs Actual → variance → exception → approval/reconcile</x:v>
      </x:c>
      <x:c r="D7" s="12" t="str">
        <x:v>Policy-driven</x:v>
      </x:c>
      <x:c r="E7" s="12" t="str">
        <x:v>D10</x:v>
      </x:c>
      <x:c r="F7" s="12" t="str">
        <x:v>P0</x:v>
      </x:c>
    </x:row>
    <x:row r="8" ht="15" hidden="0" customHeight="1">
      <x:c r="A8" s="12" t="str">
        <x:v>E2E-07</x:v>
      </x:c>
      <x:c r="B8" s="12" t="str">
        <x:v>Close</x:v>
      </x:c>
      <x:c r="C8" s="12" t="str">
        <x:v>Eligible financial scope → close → immutable snapshot → controlled reopen</x:v>
      </x:c>
      <x:c r="D8" s="12" t="str">
        <x:v>Close protection</x:v>
      </x:c>
      <x:c r="E8" s="12" t="str">
        <x:v>D11</x:v>
      </x:c>
      <x:c r="F8" s="12" t="str">
        <x:v>P0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18" hidden="0" customWidth="1"/>
    <x:col min="4" max="4" width="28" hidden="0" customWidth="1"/>
    <x:col min="5" max="5" width="45" hidden="0" customWidth="1"/>
  </x:cols>
  <x:sheetData>
    <x:row r="1" ht="15" hidden="0" customHeight="1">
      <x:c r="A1" s="6" t="str">
        <x:v>UI</x:v>
      </x:c>
      <x:c r="B1" s="6" t="str">
        <x:v>Screen</x:v>
      </x:c>
      <x:c r="C1" s="6" t="str">
        <x:v>PO Status</x:v>
      </x:c>
      <x:c r="D1" s="6" t="str">
        <x:v>Domain</x:v>
      </x:c>
      <x:c r="E1" s="6" t="str">
        <x:v>Spec/Note</x:v>
      </x:c>
    </x:row>
    <x:row r="2" ht="15" hidden="0" customHeight="1">
      <x:c r="A2" s="12" t="str">
        <x:v>UI-01</x:v>
      </x:c>
      <x:c r="B2" s="12" t="str">
        <x:v>Trang chủ / Trung tâm điều hành</x:v>
      </x:c>
      <x:c r="C2" s="12" t="str">
        <x:v>APPROVED</x:v>
      </x:c>
      <x:c r="D2" s="12" t="str">
        <x:v>D01–D12 summary</x:v>
      </x:c>
      <x:c r="E2" s="12" t="str">
        <x:v>Dashboard HTML + UI baseline</x:v>
      </x:c>
    </x:row>
    <x:row r="3" ht="15" hidden="0" customHeight="1">
      <x:c r="A3" s="12" t="str">
        <x:v>UI-02</x:v>
      </x:c>
      <x:c r="B3" s="12" t="str">
        <x:v>Đơn hàng vận chuyển / Bill Financial View</x:v>
      </x:c>
      <x:c r="C3" s="12" t="str">
        <x:v>APPROVED</x:v>
      </x:c>
      <x:c r="D3" s="12" t="str">
        <x:v>D03 + financial drill-down</x:v>
      </x:c>
      <x:c r="E3" s="12" t="str">
        <x:v>Bill là Financial Anchor</x:v>
      </x:c>
    </x:row>
    <x:row r="4" ht="15" hidden="0" customHeight="1">
      <x:c r="A4" s="12" t="str">
        <x:v>UI-03</x:v>
      </x:c>
      <x:c r="B4" s="12" t="str">
        <x:v>Bảng giá &amp; Tính giá</x:v>
      </x:c>
      <x:c r="C4" s="12" t="str">
        <x:v>APPROVED</x:v>
      </x:c>
      <x:c r="D4" s="12" t="str">
        <x:v>D04</x:v>
      </x:c>
      <x:c r="E4" s="12" t="str">
        <x:v>03A/03B</x:v>
      </x:c>
    </x:row>
    <x:row r="5" ht="15" hidden="0" customHeight="1">
      <x:c r="A5" s="12" t="str">
        <x:v>UI-04</x:v>
      </x:c>
      <x:c r="B5" s="12" t="str">
        <x:v>Quản lý Chi phí</x:v>
      </x:c>
      <x:c r="C5" s="12" t="str">
        <x:v>APPROVED</x:v>
      </x:c>
      <x:c r="D5" s="12" t="str">
        <x:v>D05</x:v>
      </x:c>
      <x:c r="E5" s="12" t="str">
        <x:v>04</x:v>
      </x:c>
    </x:row>
    <x:row r="6" ht="15" hidden="0" customHeight="1">
      <x:c r="A6" s="12" t="str">
        <x:v>UI-05</x:v>
      </x:c>
      <x:c r="B6" s="12" t="str">
        <x:v>Doanh thu &amp; Lợi nhuận</x:v>
      </x:c>
      <x:c r="C6" s="12" t="str">
        <x:v>APPROVED</x:v>
      </x:c>
      <x:c r="D6" s="12" t="str">
        <x:v>D06</x:v>
      </x:c>
      <x:c r="E6" s="12" t="str">
        <x:v>05</x:v>
      </x:c>
    </x:row>
    <x:row r="7" ht="15" hidden="0" customHeight="1">
      <x:c r="A7" s="12" t="str">
        <x:v>UI-06</x:v>
      </x:c>
      <x:c r="B7" s="12" t="str">
        <x:v>Chứng từ tài chính</x:v>
      </x:c>
      <x:c r="C7" s="12" t="str">
        <x:v>APPROVED</x:v>
      </x:c>
      <x:c r="D7" s="12" t="str">
        <x:v>D07</x:v>
      </x:c>
      <x:c r="E7" s="12" t="str">
        <x:v>06</x:v>
      </x:c>
    </x:row>
    <x:row r="8" ht="15" hidden="0" customHeight="1">
      <x:c r="A8" s="12" t="str">
        <x:v>UI-07</x:v>
      </x:c>
      <x:c r="B8" s="12" t="str">
        <x:v>Công nợ phải trả (AP)</x:v>
      </x:c>
      <x:c r="C8" s="12" t="str">
        <x:v>APPROVED</x:v>
      </x:c>
      <x:c r="D8" s="12" t="str">
        <x:v>D08</x:v>
      </x:c>
      <x:c r="E8" s="12" t="str">
        <x:v>06</x:v>
      </x:c>
    </x:row>
    <x:row r="9" ht="15" hidden="0" customHeight="1">
      <x:c r="A9" s="12" t="str">
        <x:v>UI-08</x:v>
      </x:c>
      <x:c r="B9" s="12" t="str">
        <x:v>Công nợ phải thu (AR)</x:v>
      </x:c>
      <x:c r="C9" s="12" t="str">
        <x:v>APPROVED</x:v>
      </x:c>
      <x:c r="D9" s="12" t="str">
        <x:v>D08</x:v>
      </x:c>
      <x:c r="E9" s="12" t="str">
        <x:v>06</x:v>
      </x:c>
    </x:row>
    <x:row r="10" ht="15" hidden="0" customHeight="1">
      <x:c r="A10" s="12" t="str">
        <x:v>UI-09</x:v>
      </x:c>
      <x:c r="B10" s="12" t="str">
        <x:v>Thanh toán &amp; Thu tiền</x:v>
      </x:c>
      <x:c r="C10" s="12" t="str">
        <x:v>APPROVED</x:v>
      </x:c>
      <x:c r="D10" s="12" t="str">
        <x:v>D09</x:v>
      </x:c>
      <x:c r="E10" s="12" t="str">
        <x:v>07</x:v>
      </x:c>
    </x:row>
    <x:row r="11" ht="15" hidden="0" customHeight="1">
      <x:c r="A11" s="12" t="str">
        <x:v>UI-10</x:v>
      </x:c>
      <x:c r="B11" s="12" t="str">
        <x:v>Kiểm soát tài chính</x:v>
      </x:c>
      <x:c r="C11" s="12" t="str">
        <x:v>APPROVED</x:v>
      </x:c>
      <x:c r="D11" s="12" t="str">
        <x:v>D10</x:v>
      </x:c>
      <x:c r="E11" s="12" t="str">
        <x:v>07</x:v>
      </x:c>
    </x:row>
    <x:row r="12" ht="15" hidden="0" customHeight="1">
      <x:c r="A12" s="12" t="str">
        <x:v>UI-11</x:v>
      </x:c>
      <x:c r="B12" s="12" t="str">
        <x:v>Chốt tài chính</x:v>
      </x:c>
      <x:c r="C12" s="12" t="str">
        <x:v>APPROVED</x:v>
      </x:c>
      <x:c r="D12" s="12" t="str">
        <x:v>D11</x:v>
      </x:c>
      <x:c r="E12" s="12" t="str">
        <x:v>08</x:v>
      </x:c>
    </x:row>
    <x:row r="13" ht="15" hidden="0" customHeight="1">
      <x:c r="A13" s="12" t="str">
        <x:v>UI-12</x:v>
      </x:c>
      <x:c r="B13" s="12" t="str">
        <x:v>Báo cáo &amp; Phân tích</x:v>
      </x:c>
      <x:c r="C13" s="12" t="str">
        <x:v>APPROVED</x:v>
      </x:c>
      <x:c r="D13" s="12" t="str">
        <x:v>X01</x:v>
      </x:c>
      <x:c r="E13" s="12" t="str">
        <x:v>08</x:v>
      </x:c>
    </x:row>
    <x:row r="14" ht="15" hidden="0" customHeight="1">
      <x:c r="A14" s="12" t="str">
        <x:v>UI-13</x:v>
      </x:c>
      <x:c r="B14" s="12" t="str">
        <x:v>Danh mục dữ liệu</x:v>
      </x:c>
      <x:c r="C14" s="12" t="str">
        <x:v>APPROVED</x:v>
      </x:c>
      <x:c r="D14" s="12" t="str">
        <x:v>D02</x:v>
      </x:c>
      <x:c r="E14" s="12" t="str">
        <x:v>02</x:v>
      </x:c>
    </x:row>
    <x:row r="15" ht="15" hidden="0" customHeight="1">
      <x:c r="A15" s="12" t="str">
        <x:v>UI-14</x:v>
      </x:c>
      <x:c r="B15" s="12" t="str">
        <x:v>Hệ thống &amp; Cài đặt</x:v>
      </x:c>
      <x:c r="C15" s="12" t="str">
        <x:v>APPROVED</x:v>
      </x:c>
      <x:c r="D15" s="12" t="str">
        <x:v>D01/D12/X02</x:v>
      </x:c>
      <x:c r="E15" s="12" t="str">
        <x:v>09</x:v>
      </x:c>
    </x:row>
    <x:row r="16" ht="15" hidden="0" customHeight="1">
      <x:c r="A16" s="12" t="str">
        <x:v>UI-15</x:v>
      </x:c>
      <x:c r="B16" s="12" t="str">
        <x:v>Navigation &amp; Workflow Map</x:v>
      </x:c>
      <x:c r="C16" s="12" t="str">
        <x:v>APPROVED</x:v>
      </x:c>
      <x:c r="D16" s="12" t="str">
        <x:v>Cross-domain</x:v>
      </x:c>
      <x:c r="E16" s="12" t="str">
        <x:v>Canonical navigation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2" hidden="0" customWidth="1"/>
    <x:col min="3" max="3" width="22" hidden="0" customWidth="1"/>
    <x:col min="4" max="4" width="55" hidden="0" customWidth="1"/>
  </x:cols>
  <x:sheetData>
    <x:row r="1" ht="15" hidden="0" customHeight="1">
      <x:c r="A1" s="6" t="str">
        <x:v>ID</x:v>
      </x:c>
      <x:c r="B1" s="6" t="str">
        <x:v>Invariant</x:v>
      </x:c>
      <x:c r="C1" s="6" t="str">
        <x:v>Scope</x:v>
      </x:c>
      <x:c r="D1" s="6" t="str">
        <x:v>DEV Guardrail</x:v>
      </x:c>
    </x:row>
    <x:row r="2" ht="15" hidden="0" customHeight="1">
      <x:c r="A2" s="12" t="str">
        <x:v>ARCH-01</x:v>
      </x:c>
      <x:c r="B2" s="12" t="str">
        <x:v>LCMS là Financial Control/Cost Management layer, không phải TMS</x:v>
      </x:c>
      <x:c r="C2" s="12" t="str">
        <x:v>GLOBAL</x:v>
      </x:c>
      <x:c r="D2" s="12" t="str">
        <x:v>Không đưa dispatch/GPS/driver/e-POD vào core</x:v>
      </x:c>
    </x:row>
    <x:row r="3" ht="15" hidden="0" customHeight="1">
      <x:c r="A3" s="12" t="str">
        <x:v>ARCH-02</x:v>
      </x:c>
      <x:c r="B3" s="12" t="str">
        <x:v>Bill là Financial Anchor, không phải God Table</x:v>
      </x:c>
      <x:c r="C3" s="12" t="str">
        <x:v>D03+Finance</x:v>
      </x:c>
      <x:c r="D3" s="12" t="str">
        <x:v>Các object khác vẫn searchable/linkable</x:v>
      </x:c>
    </x:row>
    <x:row r="4" ht="15" hidden="0" customHeight="1">
      <x:c r="A4" s="12" t="str">
        <x:v>ARCH-03</x:v>
      </x:c>
      <x:c r="B4" s="12" t="str">
        <x:v>Single Economic Cost / Single Economic Revenue</x:v>
      </x:c>
      <x:c r="C4" s="12" t="str">
        <x:v>D05/D06</x:v>
      </x:c>
      <x:c r="D4" s="12" t="str">
        <x:v>Không double count</x:v>
      </x:c>
    </x:row>
    <x:row r="5" ht="15" hidden="0" customHeight="1">
      <x:c r="A5" s="12" t="str">
        <x:v>ARCH-04</x:v>
      </x:c>
      <x:c r="B5" s="12" t="str">
        <x:v>Independent state dimensions</x:v>
      </x:c>
      <x:c r="C5" s="12" t="str">
        <x:v>GLOBAL</x:v>
      </x:c>
      <x:c r="D5" s="12" t="str">
        <x:v>Operational status ≠ financial status</x:v>
      </x:c>
    </x:row>
    <x:row r="6" ht="15" hidden="0" customHeight="1">
      <x:c r="A6" s="12" t="str">
        <x:v>ARCH-05</x:v>
      </x:c>
      <x:c r="B6" s="12" t="str">
        <x:v>Non-destructive financial transaction</x:v>
      </x:c>
      <x:c r="C6" s="12" t="str">
        <x:v>D05–D11</x:v>
      </x:c>
      <x:c r="D6" s="12" t="str">
        <x:v>Adjustment/reversal/supersede</x:v>
      </x:c>
    </x:row>
    <x:row r="7" ht="15" hidden="0" customHeight="1">
      <x:c r="A7" s="12" t="str">
        <x:v>ARCH-06</x:v>
      </x:c>
      <x:c r="B7" s="12" t="str">
        <x:v>Immutable close snapshot</x:v>
      </x:c>
      <x:c r="C7" s="12" t="str">
        <x:v>D11</x:v>
      </x:c>
      <x:c r="D7" s="12" t="str">
        <x:v>Không rewrite closed history</x:v>
      </x:c>
    </x:row>
    <x:row r="8" ht="15" hidden="0" customHeight="1">
      <x:c r="A8" s="12" t="str">
        <x:v>ARCH-07</x:v>
      </x:c>
      <x:c r="B8" s="12" t="str">
        <x:v>Manual/Import/API same canonical validation</x:v>
      </x:c>
      <x:c r="C8" s="12" t="str">
        <x:v>D02–D12</x:v>
      </x:c>
      <x:c r="D8" s="12" t="str">
        <x:v>Standalone commercial principle</x:v>
      </x:c>
    </x:row>
    <x:row r="9" ht="15" hidden="0" customHeight="1">
      <x:c r="A9" s="12" t="str">
        <x:v>ARCH-08</x:v>
      </x:c>
      <x:c r="B9" s="12" t="str">
        <x:v>Derived/control object không free CRUD</x:v>
      </x:c>
      <x:c r="C9" s="12" t="str">
        <x:v>D05–D11</x:v>
      </x:c>
      <x:c r="D9" s="12" t="str">
        <x:v>Rule/workflow generated</x:v>
      </x:c>
    </x:row>
    <x:row r="10" ht="15" hidden="0" customHeight="1">
      <x:c r="A10" s="12" t="str">
        <x:v>ARCH-09</x:v>
      </x:c>
      <x:c r="B10" s="12" t="str">
        <x:v>Vietnamese UX term là nguồn chuẩn UI</x:v>
      </x:c>
      <x:c r="C10" s="12" t="str">
        <x:v>UI</x:v>
      </x:c>
      <x:c r="D10" s="12" t="str">
        <x:v>Không dùng canonical English làm nhãn UI</x:v>
      </x:c>
    </x:row>
    <x:row r="11" ht="15" hidden="0" customHeight="1">
      <x:c r="A11" s="12" t="str">
        <x:v>ARCH-10</x:v>
      </x:c>
      <x:c r="B11" s="12" t="str">
        <x:v>Published Rate Version immutable</x:v>
      </x:c>
      <x:c r="C11" s="12" t="str">
        <x:v>D04</x:v>
      </x:c>
      <x:c r="D11" s="12" t="str">
        <x:v>Sửa giá tạo version mới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5" hidden="0" customWidth="1"/>
    <x:col min="3" max="3" width="28" hidden="0" customWidth="1"/>
    <x:col min="4" max="4" width="14" hidden="0" customWidth="1"/>
  </x:cols>
  <x:sheetData>
    <x:row r="1" ht="15" hidden="0" customHeight="1">
      <x:c r="A1" s="6" t="str">
        <x:v>ID</x:v>
      </x:c>
      <x:c r="B1" s="6" t="str">
        <x:v>Acceptance Criterion</x:v>
      </x:c>
      <x:c r="C1" s="6" t="str">
        <x:v>Scope</x:v>
      </x:c>
      <x:c r="D1" s="6" t="str">
        <x:v>Priority</x:v>
      </x:c>
    </x:row>
    <x:row r="2" ht="15" hidden="0" customHeight="1">
      <x:c r="A2" s="12" t="str">
        <x:v>AC-M-01</x:v>
      </x:c>
      <x:c r="B2" s="12" t="str">
        <x:v>Tenant không TMS/ERP vẫn chạy core bằng Manual/Import phù hợp</x:v>
      </x:c>
      <x:c r="C2" s="12" t="str">
        <x:v>E2E-01</x:v>
      </x:c>
      <x:c r="D2" s="12" t="str">
        <x:v>P0</x:v>
      </x:c>
    </x:row>
    <x:row r="3" ht="15" hidden="0" customHeight="1">
      <x:c r="A3" s="12" t="str">
        <x:v>AC-M-02</x:v>
      </x:c>
      <x:c r="B3" s="12" t="str">
        <x:v>Không khóa core chỉ vì thiếu connector</x:v>
      </x:c>
      <x:c r="C3" s="12" t="str">
        <x:v>D01–D12</x:v>
      </x:c>
      <x:c r="D3" s="12" t="str">
        <x:v>P0</x:v>
      </x:c>
    </x:row>
    <x:row r="4" ht="15" hidden="0" customHeight="1">
      <x:c r="A4" s="12" t="str">
        <x:v>AC-M-03</x:v>
      </x:c>
      <x:c r="B4" s="12" t="str">
        <x:v>Manual/Import/API cùng validation/invariant/provenance</x:v>
      </x:c>
      <x:c r="C4" s="12" t="str">
        <x:v>D02–D12</x:v>
      </x:c>
      <x:c r="D4" s="12" t="str">
        <x:v>P0</x:v>
      </x:c>
    </x:row>
    <x:row r="5" ht="15" hidden="0" customHeight="1">
      <x:c r="A5" s="12" t="str">
        <x:v>AC-M-04</x:v>
      </x:c>
      <x:c r="B5" s="12" t="str">
        <x:v>External SoT conflict không silent overwrite</x:v>
      </x:c>
      <x:c r="C5" s="12" t="str">
        <x:v>D03/D12</x:v>
      </x:c>
      <x:c r="D5" s="12" t="str">
        <x:v>P0</x:v>
      </x:c>
    </x:row>
    <x:row r="6" ht="15" hidden="0" customHeight="1">
      <x:c r="A6" s="12" t="str">
        <x:v>AC-M-05</x:v>
      </x:c>
      <x:c r="B6" s="12" t="str">
        <x:v>Derived/control objects không generic free CRUD</x:v>
      </x:c>
      <x:c r="C6" s="12" t="str">
        <x:v>D05–D11</x:v>
      </x:c>
      <x:c r="D6" s="12" t="str">
        <x:v>P0</x:v>
      </x:c>
    </x:row>
    <x:row r="7" ht="15" hidden="0" customHeight="1">
      <x:c r="A7" s="12" t="str">
        <x:v>AC-M-06</x:v>
      </x:c>
      <x:c r="B7" s="12" t="str">
        <x:v>D03 đủ LIST/SEARCH/DETAIL/RELATIONSHIP/CROSS-NAV</x:v>
      </x:c>
      <x:c r="C7" s="12" t="str">
        <x:v>D03</x:v>
      </x:c>
      <x:c r="D7" s="12" t="str">
        <x:v>P0</x:v>
      </x:c>
    </x:row>
    <x:row r="8" ht="15" hidden="0" customHeight="1">
      <x:c r="A8" s="12" t="str">
        <x:v>AC-M-07</x:v>
      </x:c>
      <x:c r="B8" s="12" t="str">
        <x:v>Rate master configurable; Rating immutable/system-generated</x:v>
      </x:c>
      <x:c r="C8" s="12" t="str">
        <x:v>D04</x:v>
      </x:c>
      <x:c r="D8" s="12" t="str">
        <x:v>P0</x:v>
      </x:c>
    </x:row>
    <x:row r="9" ht="15" hidden="0" customHeight="1">
      <x:c r="A9" s="12" t="str">
        <x:v>AC-M-08</x:v>
      </x:c>
      <x:c r="B9" s="12" t="str">
        <x:v>Payment/Collection tách cash transaction khỏi settlement</x:v>
      </x:c>
      <x:c r="C9" s="12" t="str">
        <x:v>D09</x:v>
      </x:c>
      <x:c r="D9" s="12" t="str">
        <x:v>P0</x:v>
      </x:c>
    </x:row>
    <x:row r="10" ht="15" hidden="0" customHeight="1">
      <x:c r="A10" s="12" t="str">
        <x:v>AC-M-09</x:v>
      </x:c>
      <x:c r="B10" s="12" t="str">
        <x:v>Import có validate/preview/error/idempotency</x:v>
      </x:c>
      <x:c r="C10" s="12" t="str">
        <x:v>D02–D12</x:v>
      </x:c>
      <x:c r="D10" s="12" t="str">
        <x:v>P0</x:v>
      </x:c>
    </x:row>
    <x:row r="11" ht="15" hidden="0" customHeight="1">
      <x:c r="A11" s="12" t="str">
        <x:v>AC-M-10</x:v>
      </x:c>
      <x:c r="B11" s="12" t="str">
        <x:v>Permission/Data Scope/Audit/Close protection áp dụng mọi channel</x:v>
      </x:c>
      <x:c r="C11" s="12" t="str">
        <x:v>GLOBAL</x:v>
      </x:c>
      <x:c r="D11" s="12" t="str">
        <x:v>P0</x:v>
      </x:c>
    </x:row>
    <x:row r="12" ht="15" hidden="0" customHeight="1">
      <x:c r="A12" s="12" t="str">
        <x:v>AC-M-11</x:v>
      </x:c>
      <x:c r="B12" s="12" t="str">
        <x:v>DEV trace được mỗi function sang detailed spec và test</x:v>
      </x:c>
      <x:c r="C12" s="12" t="str">
        <x:v>01B</x:v>
      </x:c>
      <x:c r="D12" s="12" t="str">
        <x:v>P0</x:v>
      </x:c>
    </x:row>
    <x:row r="13" ht="15" hidden="0" customHeight="1">
      <x:c r="A13" s="12" t="str">
        <x:v>AC-M-12</x:v>
      </x:c>
      <x:c r="B13" s="12" t="str">
        <x:v>Không còn foundational business question phải hỏi PO sau handoff</x:v>
      </x:c>
      <x:c r="C13" s="12" t="str">
        <x:v>MASTER</x:v>
      </x:c>
      <x:c r="D13" s="12" t="str">
        <x:v>P0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9.200000762939453" hidden="0" customHeight="1">
      <x:c r="A1" s="15" t="str">
        <x:v>LCMS MASTER — Requirement Coverage Dashboard</x:v>
      </x:c>
      <x:c r="B1" s="15"/>
      <x:c r="C1" s="15"/>
      <x:c r="D1" s="15"/>
      <x:c r="E1" s="15"/>
      <x:c r="F1" s="15"/>
    </x:row>
    <x:row r="2"/>
    <x:row r="3" ht="15" hidden="0" customHeight="1">
      <x:c r="A3" s="22" t="str">
        <x:v>KPI</x:v>
      </x:c>
      <x:c r="B3" s="22" t="str">
        <x:v>Value</x:v>
      </x:c>
    </x:row>
    <x:row r="4" ht="15" hidden="0" customHeight="1">
      <x:c r="A4" s="12" t="str">
        <x:v>Total Functional Rows</x:v>
      </x:c>
      <x:c r="B4" s="12" t="n">
        <x:f>COUNTA('Functional Catalogue'!A2:A200)</x:f>
        <x:v>36</x:v>
      </x:c>
    </x:row>
    <x:row r="5" ht="15" hidden="0" customHeight="1">
      <x:c r="A5" s="12" t="str">
        <x:v>P0</x:v>
      </x:c>
      <x:c r="B5" s="12" t="n">
        <x:f>COUNTIF('Functional Catalogue'!M2:M200,"P0")</x:f>
        <x:v>32</x:v>
      </x:c>
    </x:row>
    <x:row r="6" ht="15" hidden="0" customHeight="1">
      <x:c r="A6" s="12" t="str">
        <x:v>P1</x:v>
      </x:c>
      <x:c r="B6" s="12" t="n">
        <x:f>COUNTIF('Functional Catalogue'!M2:M200,"P1")</x:f>
        <x:v>4</x:v>
      </x:c>
    </x:row>
    <x:row r="7" ht="15" hidden="0" customHeight="1">
      <x:c r="A7" s="12" t="str">
        <x:v>Detailed Spec Packaged (02/03)</x:v>
      </x:c>
      <x:c r="B7" s="12" t="n">
        <x:f>COUNTIF('Functional Catalogue'!N2:N200,"02A/02B")+COUNTIF('Functional Catalogue'!N2:N200,"03A/03B")</x:f>
        <x:v>13</x:v>
      </x:c>
    </x:row>
    <x:row r="8" ht="15" hidden="0" customHeight="1">
      <x:c r="A8" s="12" t="str">
        <x:v>Pending Detailed Spec</x:v>
      </x:c>
      <x:c r="B8" s="12" t="n">
        <x:f>COUNTIF('Functional Catalogue'!O2:O200,"Chờ*")</x:f>
        <x:v>0</x:v>
      </x:c>
    </x:row>
    <x:row r="9"/>
    <x:row r="10"/>
    <x:row r="11"/>
    <x:row r="12"/>
  </x:sheetData>
  <x:mergeCells>
    <x:mergeCell ref="A1:F1"/>
  </x:mergeCells>
  <x:pageMargins left="0.7" right="0.7" top="0.75" bottom="0.75" header="0.3" footer="0.3"/>
</x:worksheet>
</file>