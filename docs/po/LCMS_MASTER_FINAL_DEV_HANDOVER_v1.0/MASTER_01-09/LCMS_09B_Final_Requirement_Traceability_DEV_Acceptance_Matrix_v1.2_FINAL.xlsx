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Final Traceability" sheetId="2" state="visible" r:id="rId2"/>
    <sheet xmlns:r="http://schemas.openxmlformats.org/officeDocument/2006/relationships" name="Architecture Invariants" sheetId="3" state="visible" r:id="rId3"/>
    <sheet xmlns:r="http://schemas.openxmlformats.org/officeDocument/2006/relationships" name="Integration Controls" sheetId="4" state="visible" r:id="rId4"/>
    <sheet xmlns:r="http://schemas.openxmlformats.org/officeDocument/2006/relationships" name="Security Controls" sheetId="5" state="visible" r:id="rId5"/>
    <sheet xmlns:r="http://schemas.openxmlformats.org/officeDocument/2006/relationships" name="NFR Controls" sheetId="6" state="visible" r:id="rId6"/>
    <sheet xmlns:r="http://schemas.openxmlformats.org/officeDocument/2006/relationships" name="Final Acceptance Tests" sheetId="7" state="visible" r:id="rId7"/>
    <sheet xmlns:r="http://schemas.openxmlformats.org/officeDocument/2006/relationships" name="Handover Gates" sheetId="8" state="visible" r:id="rId8"/>
    <sheet xmlns:r="http://schemas.openxmlformats.org/officeDocument/2006/relationships" name="Status Rules" sheetId="9" state="visible" r:id="rId9"/>
    <sheet xmlns:r="http://schemas.openxmlformats.org/officeDocument/2006/relationships" name="Acceptance Dashboard" sheetId="10" state="visible" r:id="rId10"/>
    <sheet xmlns:r="http://schemas.openxmlformats.org/officeDocument/2006/relationships" name="Final Review Closure" sheetId="11" state="visible" r:id="rId11"/>
    <sheet xmlns:r="http://schemas.openxmlformats.org/officeDocument/2006/relationships" name="Gap Closure" sheetId="12" state="visible" r:id="rId12"/>
    <sheet xmlns:r="http://schemas.openxmlformats.org/officeDocument/2006/relationships" name="Policy Registry" sheetId="13" state="visible" r:id="rId13"/>
    <sheet xmlns:r="http://schemas.openxmlformats.org/officeDocument/2006/relationships" name="Final Closure Status" sheetId="14" state="visible" r:id="rId14"/>
    <sheet xmlns:r="http://schemas.openxmlformats.org/officeDocument/2006/relationships" name="Detailed Traceability" sheetId="15" state="visible" r:id="rId1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style="16" min="1" max="1"/>
    <col width="115" customWidth="1" style="16" min="2" max="2"/>
  </cols>
  <sheetData>
    <row r="1" ht="15" customHeight="1" s="16">
      <c r="A1" s="21" t="inlineStr">
        <is>
          <t>Mục</t>
        </is>
      </c>
      <c r="B1" s="21" t="inlineStr">
        <is>
          <t>Nội dung</t>
        </is>
      </c>
    </row>
    <row r="2" ht="15" customHeight="1" s="16">
      <c r="A2" s="22" t="inlineStr">
        <is>
          <t>Tên</t>
        </is>
      </c>
      <c r="B2" s="22" t="inlineStr">
        <is>
          <t>LCMS 09B — Final Requirement Traceability &amp; DEV Acceptance Matrix v1.0</t>
        </is>
      </c>
    </row>
    <row r="3" ht="15" customHeight="1" s="16">
      <c r="A3" s="22" t="inlineStr">
        <is>
          <t>Mục tiêu</t>
        </is>
      </c>
      <c r="B3" s="22" t="inlineStr">
        <is>
          <t>Final implementation/QA gate cho Full Product &amp; Functional Specification MASTER.</t>
        </is>
      </c>
    </row>
    <row r="4" ht="15" customHeight="1" s="16">
      <c r="A4" s="22" t="inlineStr">
        <is>
          <t>Status chuẩn</t>
        </is>
      </c>
      <c r="B4" s="22" t="inlineStr">
        <is>
          <t>DONE / PARTIAL / MISSING / SAI KIẾN TRÚC / N/A APPROVED / PO WAIVED</t>
        </is>
      </c>
    </row>
    <row r="5" ht="15" customHeight="1" s="16">
      <c r="A5" s="22" t="inlineStr">
        <is>
          <t>Nguyên tắc P0</t>
        </is>
      </c>
      <c r="B5" s="22" t="inlineStr">
        <is>
          <t>PARTIAL/MISSING/SAI KIẾN TRÚC P0 chặn final acceptance trừ PO WAIVED rõ ràng.</t>
        </is>
      </c>
    </row>
    <row r="6" ht="15" customHeight="1" s="16">
      <c r="A6" s="22" t="inlineStr">
        <is>
          <t>Evidence</t>
        </is>
      </c>
      <c r="B6" s="22" t="inlineStr">
        <is>
          <t>DONE phải có implementation + test/review evidence; không chỉ DEV tự đánh dấu.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15" customWidth="1" style="16" min="2" max="2"/>
    <col width="28" customWidth="1" style="16" min="3" max="3"/>
    <col width="72" customWidth="1" style="16" min="4" max="4"/>
    <col width="12" customWidth="1" style="16" min="5" max="5"/>
    <col width="16" customWidth="1" style="16" min="6" max="6"/>
    <col width="28" customWidth="1" style="16" min="7" max="7"/>
    <col width="30" customWidth="1" style="16" min="8" max="8"/>
    <col width="30" customWidth="1" style="16" min="9" max="9"/>
    <col width="16" customWidth="1" style="16" min="10" max="10"/>
    <col width="28" customWidth="1" style="16" min="11" max="11"/>
    <col width="22" customWidth="1" style="16" min="12" max="12"/>
    <col width="28" customWidth="1" style="16" min="13" max="13"/>
    <col width="50" customWidth="1" style="16" min="14" max="14"/>
  </cols>
  <sheetData>
    <row r="1" ht="15" customHeight="1" s="16">
      <c r="A1" s="21" t="inlineStr">
        <is>
          <t>Req ID</t>
        </is>
      </c>
      <c r="B1" s="21" t="inlineStr">
        <is>
          <t>Domain</t>
        </is>
      </c>
      <c r="C1" s="21" t="inlineStr">
        <is>
          <t>Module/Area</t>
        </is>
      </c>
      <c r="D1" s="21" t="inlineStr">
        <is>
          <t>Requirement Scope</t>
        </is>
      </c>
      <c r="E1" s="21" t="inlineStr">
        <is>
          <t>Priority</t>
        </is>
      </c>
      <c r="F1" s="21" t="inlineStr">
        <is>
          <t>Source</t>
        </is>
      </c>
      <c r="G1" s="21" t="inlineStr">
        <is>
          <t>UI Mapping</t>
        </is>
      </c>
      <c r="H1" s="21" t="inlineStr">
        <is>
          <t>API Mapping</t>
        </is>
      </c>
      <c r="I1" s="21" t="inlineStr">
        <is>
          <t>DB/Object Mapping</t>
        </is>
      </c>
      <c r="J1" s="21" t="inlineStr">
        <is>
          <t>Test ID</t>
        </is>
      </c>
      <c r="K1" s="21" t="inlineStr">
        <is>
          <t>DEV Status</t>
        </is>
      </c>
      <c r="L1" s="21" t="inlineStr">
        <is>
          <t>Reviewer Status</t>
        </is>
      </c>
      <c r="M1" s="21" t="inlineStr">
        <is>
          <t>Gap/Classification</t>
        </is>
      </c>
      <c r="N1" s="21" t="inlineStr">
        <is>
          <t>Evidence/Reference</t>
        </is>
      </c>
    </row>
    <row r="2" ht="15" customHeight="1" s="16">
      <c r="A2" s="22" t="inlineStr">
        <is>
          <t>M01</t>
        </is>
      </c>
      <c r="B2" s="22" t="inlineStr">
        <is>
          <t>D01</t>
        </is>
      </c>
      <c r="C2" s="22" t="inlineStr">
        <is>
          <t>Tenant &amp; Platform</t>
        </is>
      </c>
      <c r="D2" s="22" t="inlineStr">
        <is>
          <t>Tenant bootstrap/admin/capability/configuration independent of external IAM</t>
        </is>
      </c>
      <c r="E2" s="22" t="inlineStr">
        <is>
          <t>P0</t>
        </is>
      </c>
      <c r="F2" s="22" t="inlineStr">
        <is>
          <t>01–09</t>
        </is>
      </c>
      <c r="G2" s="22" t="str"/>
      <c r="H2" s="22" t="str"/>
      <c r="I2" s="22" t="str"/>
      <c r="J2" s="22" t="inlineStr">
        <is>
          <t>FS-20</t>
        </is>
      </c>
      <c r="K2" s="22" t="inlineStr">
        <is>
          <t>DONE</t>
        </is>
      </c>
      <c r="L2" s="22" t="inlineStr">
        <is>
          <t>Chờ review</t>
        </is>
      </c>
      <c r="M2" s="22" t="str"/>
      <c r="N2" s="22" t="inlineStr">
        <is>
          <t>Tenant bootstrap/admin/settings/license; TenantAdminEndpoints; ADR-0021</t>
        </is>
      </c>
    </row>
    <row r="3" ht="15" customHeight="1" s="16">
      <c r="A3" s="22" t="inlineStr">
        <is>
          <t>M02</t>
        </is>
      </c>
      <c r="B3" s="22" t="inlineStr">
        <is>
          <t>D02</t>
        </is>
      </c>
      <c r="C3" s="22" t="inlineStr">
        <is>
          <t>Master Data</t>
        </is>
      </c>
      <c r="D3" s="22" t="inlineStr">
        <is>
          <t>Party/Location/Route/Mode/Service/Commodity/Charge/UOM canonical master</t>
        </is>
      </c>
      <c r="E3" s="22" t="inlineStr">
        <is>
          <t>P0</t>
        </is>
      </c>
      <c r="F3" s="22" t="inlineStr">
        <is>
          <t>01–09</t>
        </is>
      </c>
      <c r="G3" s="22" t="str"/>
      <c r="H3" s="22" t="str"/>
      <c r="I3" s="22" t="str"/>
      <c r="J3" s="22" t="inlineStr">
        <is>
          <t>FS-26</t>
        </is>
      </c>
      <c r="K3" s="22" t="inlineStr">
        <is>
          <t>DONE</t>
        </is>
      </c>
      <c r="L3" s="22" t="inlineStr">
        <is>
          <t>Chờ review</t>
        </is>
      </c>
      <c r="M3" s="22" t="str"/>
      <c r="N3" s="22" t="inlineStr">
        <is>
          <t>Party/Location/Route/Mode/Service/Commodity masters; Package A; ADR-0023</t>
        </is>
      </c>
    </row>
    <row r="4" ht="15" customHeight="1" s="16">
      <c r="A4" s="22" t="inlineStr">
        <is>
          <t>M03</t>
        </is>
      </c>
      <c r="B4" s="22" t="inlineStr">
        <is>
          <t>D03</t>
        </is>
      </c>
      <c r="C4" s="22" t="inlineStr">
        <is>
          <t>Operational Reference</t>
        </is>
      </c>
      <c r="D4" s="22" t="inlineStr">
        <is>
          <t>Order/Bill/Shipment/Leg/Movement Manual/Import/API + relationship graph</t>
        </is>
      </c>
      <c r="E4" s="22" t="inlineStr">
        <is>
          <t>P0</t>
        </is>
      </c>
      <c r="F4" s="22" t="inlineStr">
        <is>
          <t>01–09</t>
        </is>
      </c>
      <c r="G4" s="22" t="str"/>
      <c r="H4" s="22" t="str"/>
      <c r="I4" s="22" t="str"/>
      <c r="J4" s="22" t="inlineStr">
        <is>
          <t>FS-28</t>
        </is>
      </c>
      <c r="K4" s="22" t="inlineStr">
        <is>
          <t>DONE</t>
        </is>
      </c>
      <c r="L4" s="22" t="inlineStr">
        <is>
          <t>Chờ review</t>
        </is>
      </c>
      <c r="M4" s="22" t="str"/>
      <c r="N4" s="22" t="inlineStr">
        <is>
          <t>Order/Bill/Shipment/Leg/Movement Manual/Import/API; ADR-0017/0022/0024</t>
        </is>
      </c>
    </row>
    <row r="5" ht="15" customHeight="1" s="16">
      <c r="A5" s="22" t="inlineStr">
        <is>
          <t>M04</t>
        </is>
      </c>
      <c r="B5" s="22" t="inlineStr">
        <is>
          <t>D03</t>
        </is>
      </c>
      <c r="C5" s="22" t="inlineStr">
        <is>
          <t>Optional Depth</t>
        </is>
      </c>
      <c r="D5" s="22" t="inlineStr">
        <is>
          <t>Bill-only tenant can run core finance</t>
        </is>
      </c>
      <c r="E5" s="22" t="inlineStr">
        <is>
          <t>P0</t>
        </is>
      </c>
      <c r="F5" s="22" t="inlineStr">
        <is>
          <t>01–09</t>
        </is>
      </c>
      <c r="G5" s="22" t="str"/>
      <c r="H5" s="22" t="str"/>
      <c r="I5" s="22" t="str"/>
      <c r="J5" s="22" t="inlineStr">
        <is>
          <t>FS-27</t>
        </is>
      </c>
      <c r="K5" s="22" t="inlineStr">
        <is>
          <t>DONE</t>
        </is>
      </c>
      <c r="L5" s="22" t="inlineStr">
        <is>
          <t>Chờ review</t>
        </is>
      </c>
      <c r="M5" s="22" t="str"/>
      <c r="N5" s="22" t="inlineStr">
        <is>
          <t>Bill-only tenant can run core finance without Order/Shipment</t>
        </is>
      </c>
    </row>
    <row r="6" ht="15" customHeight="1" s="16">
      <c r="A6" s="22" t="inlineStr">
        <is>
          <t>M05</t>
        </is>
      </c>
      <c r="B6" s="22" t="inlineStr">
        <is>
          <t>D04</t>
        </is>
      </c>
      <c r="C6" s="22" t="inlineStr">
        <is>
          <t>Rate Master</t>
        </is>
      </c>
      <c r="D6" s="22" t="inlineStr">
        <is>
          <t>BUY/SELL Rate Card/Version/Rule/Component with publish immutability</t>
        </is>
      </c>
      <c r="E6" s="22" t="inlineStr">
        <is>
          <t>P0</t>
        </is>
      </c>
      <c r="F6" s="22" t="inlineStr">
        <is>
          <t>01–09</t>
        </is>
      </c>
      <c r="G6" s="22" t="str"/>
      <c r="H6" s="22" t="str"/>
      <c r="I6" s="22" t="str"/>
      <c r="J6" s="22" t="inlineStr">
        <is>
          <t>FS-26</t>
        </is>
      </c>
      <c r="K6" s="22" t="inlineStr">
        <is>
          <t>DONE</t>
        </is>
      </c>
      <c r="L6" s="22" t="inlineStr">
        <is>
          <t>Chờ review</t>
        </is>
      </c>
      <c r="M6" s="22" t="str"/>
      <c r="N6" s="22" t="inlineStr">
        <is>
          <t>BUY/SELL Rate Card/Version publish immutable; RatePricingEndpoints</t>
        </is>
      </c>
    </row>
    <row r="7" ht="15" customHeight="1" s="16">
      <c r="A7" s="22" t="inlineStr">
        <is>
          <t>M06</t>
        </is>
      </c>
      <c r="B7" s="22" t="inlineStr">
        <is>
          <t>D04</t>
        </is>
      </c>
      <c r="C7" s="22" t="inlineStr">
        <is>
          <t>Rating Engine</t>
        </is>
      </c>
      <c r="D7" s="22" t="inlineStr">
        <is>
          <t>Calculation modes, chargeable derivation, breakdown, rerating/supersede</t>
        </is>
      </c>
      <c r="E7" s="22" t="inlineStr">
        <is>
          <t>P0</t>
        </is>
      </c>
      <c r="F7" s="22" t="inlineStr">
        <is>
          <t>01–09</t>
        </is>
      </c>
      <c r="G7" s="22" t="str"/>
      <c r="H7" s="22" t="str"/>
      <c r="I7" s="22" t="str"/>
      <c r="J7" s="22" t="inlineStr">
        <is>
          <t>FS-26</t>
        </is>
      </c>
      <c r="K7" s="22" t="inlineStr">
        <is>
          <t>DONE</t>
        </is>
      </c>
      <c r="L7" s="22" t="inlineStr">
        <is>
          <t>Chờ review</t>
        </is>
      </c>
      <c r="M7" s="22" t="str"/>
      <c r="N7" s="22" t="inlineStr">
        <is>
          <t>Six rating modes + chargeable + FX snapshot; ADR-0025</t>
        </is>
      </c>
    </row>
    <row r="8" ht="15" customHeight="1" s="16">
      <c r="A8" s="22" t="inlineStr">
        <is>
          <t>M07</t>
        </is>
      </c>
      <c r="B8" s="22" t="inlineStr">
        <is>
          <t>D05</t>
        </is>
      </c>
      <c r="C8" s="22" t="inlineStr">
        <is>
          <t>Cost</t>
        </is>
      </c>
      <c r="D8" s="22" t="inlineStr">
        <is>
          <t>Expected/Confirmed/Actual Cost, provenance, non-destructive lifecycle</t>
        </is>
      </c>
      <c r="E8" s="22" t="inlineStr">
        <is>
          <t>P0</t>
        </is>
      </c>
      <c r="F8" s="22" t="inlineStr">
        <is>
          <t>01–09</t>
        </is>
      </c>
      <c r="G8" s="22" t="str"/>
      <c r="H8" s="22" t="str"/>
      <c r="I8" s="22" t="str"/>
      <c r="J8" s="22" t="inlineStr">
        <is>
          <t>FS-26</t>
        </is>
      </c>
      <c r="K8" s="22" t="inlineStr">
        <is>
          <t>DONE</t>
        </is>
      </c>
      <c r="L8" s="22" t="inlineStr">
        <is>
          <t>Chờ review</t>
        </is>
      </c>
      <c r="M8" s="22" t="str"/>
      <c r="N8" s="22" t="inlineStr">
        <is>
          <t>Expected/Confirmed/Actual Cost + provenance; CostEndpoints</t>
        </is>
      </c>
    </row>
    <row r="9" ht="15" customHeight="1" s="16">
      <c r="A9" s="22" t="inlineStr">
        <is>
          <t>M08</t>
        </is>
      </c>
      <c r="B9" s="22" t="inlineStr">
        <is>
          <t>D05</t>
        </is>
      </c>
      <c r="C9" s="22" t="inlineStr">
        <is>
          <t>Cost Allocation</t>
        </is>
      </c>
      <c r="D9" s="22" t="inlineStr">
        <is>
          <t>Auto/manual controlled allocation + conservation + reallocation history</t>
        </is>
      </c>
      <c r="E9" s="22" t="inlineStr">
        <is>
          <t>P0</t>
        </is>
      </c>
      <c r="F9" s="22" t="inlineStr">
        <is>
          <t>01–09</t>
        </is>
      </c>
      <c r="G9" s="22" t="str"/>
      <c r="H9" s="22" t="str"/>
      <c r="I9" s="22" t="str"/>
      <c r="J9" s="22" t="inlineStr">
        <is>
          <t>FS-16</t>
        </is>
      </c>
      <c r="K9" s="22" t="inlineStr">
        <is>
          <t>DONE</t>
        </is>
      </c>
      <c r="L9" s="22" t="inlineStr">
        <is>
          <t>Chờ review</t>
        </is>
      </c>
      <c r="M9" s="22" t="str"/>
      <c r="N9" s="22" t="inlineStr">
        <is>
          <t>Allocation bases + conservation remainder; ADR-0026</t>
        </is>
      </c>
    </row>
    <row r="10" ht="15" customHeight="1" s="16">
      <c r="A10" s="22" t="inlineStr">
        <is>
          <t>M09</t>
        </is>
      </c>
      <c r="B10" s="22" t="inlineStr">
        <is>
          <t>D06</t>
        </is>
      </c>
      <c r="C10" s="22" t="inlineStr">
        <is>
          <t>Revenue</t>
        </is>
      </c>
      <c r="D10" s="22" t="inlineStr">
        <is>
          <t>Single Economic Revenue + configurable Revenue SoT + maturity isolation</t>
        </is>
      </c>
      <c r="E10" s="22" t="inlineStr">
        <is>
          <t>P0</t>
        </is>
      </c>
      <c r="F10" s="22" t="inlineStr">
        <is>
          <t>01–09</t>
        </is>
      </c>
      <c r="G10" s="22" t="str"/>
      <c r="H10" s="22" t="str"/>
      <c r="I10" s="22" t="str"/>
      <c r="J10" s="22" t="inlineStr">
        <is>
          <t>FS-26</t>
        </is>
      </c>
      <c r="K10" s="22" t="inlineStr">
        <is>
          <t>DONE</t>
        </is>
      </c>
      <c r="L10" s="22" t="inlineStr">
        <is>
          <t>Chờ review</t>
        </is>
      </c>
      <c r="M10" s="22" t="str"/>
      <c r="N10" s="22" t="inlineStr">
        <is>
          <t>Single economic revenue + configurable SoT; RevenueEndpoints</t>
        </is>
      </c>
    </row>
    <row r="11" ht="15" customHeight="1" s="16">
      <c r="A11" s="22" t="inlineStr">
        <is>
          <t>M10</t>
        </is>
      </c>
      <c r="B11" s="22" t="inlineStr">
        <is>
          <t>D06</t>
        </is>
      </c>
      <c r="C11" s="22" t="inlineStr">
        <is>
          <t>Profitability</t>
        </is>
      </c>
      <c r="D11" s="22" t="inlineStr">
        <is>
          <t>Bill anchor + maturity/currency/as-of explicit GP/Margin</t>
        </is>
      </c>
      <c r="E11" s="22" t="inlineStr">
        <is>
          <t>P0</t>
        </is>
      </c>
      <c r="F11" s="22" t="inlineStr">
        <is>
          <t>01–09</t>
        </is>
      </c>
      <c r="G11" s="22" t="str"/>
      <c r="H11" s="22" t="str"/>
      <c r="I11" s="22" t="str"/>
      <c r="J11" s="22" t="inlineStr">
        <is>
          <t>FS-29</t>
        </is>
      </c>
      <c r="K11" s="22" t="inlineStr">
        <is>
          <t>DONE</t>
        </is>
      </c>
      <c r="L11" s="22" t="inlineStr">
        <is>
          <t>Chờ review</t>
        </is>
      </c>
      <c r="M11" s="22" t="str"/>
      <c r="N11" s="22" t="inlineStr">
        <is>
          <t>GP board maturity views; ProfitabilityBoard; ADR-0027</t>
        </is>
      </c>
    </row>
    <row r="12" ht="15" customHeight="1" s="16">
      <c r="A12" s="22" t="inlineStr">
        <is>
          <t>M11</t>
        </is>
      </c>
      <c r="B12" s="22" t="inlineStr">
        <is>
          <t>D07</t>
        </is>
      </c>
      <c r="C12" s="22" t="inlineStr">
        <is>
          <t>Financial Documents</t>
        </is>
      </c>
      <c r="D12" s="22" t="inlineStr">
        <is>
          <t>Header/Line/Attachment + match 1:1/1:N/N:1/partial</t>
        </is>
      </c>
      <c r="E12" s="22" t="inlineStr">
        <is>
          <t>P0</t>
        </is>
      </c>
      <c r="F12" s="22" t="inlineStr">
        <is>
          <t>01–09</t>
        </is>
      </c>
      <c r="G12" s="22" t="str"/>
      <c r="H12" s="22" t="str"/>
      <c r="I12" s="22" t="str"/>
      <c r="J12" s="22" t="inlineStr">
        <is>
          <t>FS-26</t>
        </is>
      </c>
      <c r="K12" s="22" t="inlineStr">
        <is>
          <t>DONE</t>
        </is>
      </c>
      <c r="L12" s="22" t="inlineStr">
        <is>
          <t>Chờ review</t>
        </is>
      </c>
      <c r="M12" s="22" t="str"/>
      <c r="N12" s="22" t="inlineStr">
        <is>
          <t>Financial documents receive/accept/match; ADR-0005/0012/0028</t>
        </is>
      </c>
    </row>
    <row r="13" ht="15" customHeight="1" s="16">
      <c r="A13" s="22" t="inlineStr">
        <is>
          <t>M12</t>
        </is>
      </c>
      <c r="B13" s="22" t="inlineStr">
        <is>
          <t>D08</t>
        </is>
      </c>
      <c r="C13" s="22" t="inlineStr">
        <is>
          <t>AP/AR</t>
        </is>
      </c>
      <c r="D13" s="22" t="inlineStr">
        <is>
          <t>Policy-driven recognition + outstanding/aging</t>
        </is>
      </c>
      <c r="E13" s="22" t="inlineStr">
        <is>
          <t>P0</t>
        </is>
      </c>
      <c r="F13" s="22" t="inlineStr">
        <is>
          <t>01–09</t>
        </is>
      </c>
      <c r="G13" s="22" t="str"/>
      <c r="H13" s="22" t="str"/>
      <c r="I13" s="22" t="str"/>
      <c r="J13" s="22" t="inlineStr">
        <is>
          <t>FS-26</t>
        </is>
      </c>
      <c r="K13" s="22" t="inlineStr">
        <is>
          <t>DONE</t>
        </is>
      </c>
      <c r="L13" s="22" t="inlineStr">
        <is>
          <t>Chờ review</t>
        </is>
      </c>
      <c r="M13" s="22" t="str"/>
      <c r="N13" s="22" t="inlineStr">
        <is>
          <t>AP/AR exposure→recognize separate records; ExposureApArEndpoints</t>
        </is>
      </c>
    </row>
    <row r="14" ht="15" customHeight="1" s="16">
      <c r="A14" s="22" t="inlineStr">
        <is>
          <t>M13</t>
        </is>
      </c>
      <c r="B14" s="22" t="inlineStr">
        <is>
          <t>D09</t>
        </is>
      </c>
      <c r="C14" s="22" t="inlineStr">
        <is>
          <t>Cash</t>
        </is>
      </c>
      <c r="D14" s="22" t="inlineStr">
        <is>
          <t>Payment/Collection independent from settlement</t>
        </is>
      </c>
      <c r="E14" s="22" t="inlineStr">
        <is>
          <t>P0</t>
        </is>
      </c>
      <c r="F14" s="22" t="inlineStr">
        <is>
          <t>01–09</t>
        </is>
      </c>
      <c r="G14" s="22" t="str"/>
      <c r="H14" s="22" t="str"/>
      <c r="I14" s="22" t="str"/>
      <c r="J14" s="22" t="inlineStr">
        <is>
          <t>FS-26</t>
        </is>
      </c>
      <c r="K14" s="22" t="inlineStr">
        <is>
          <t>DONE</t>
        </is>
      </c>
      <c r="L14" s="22" t="inlineStr">
        <is>
          <t>Chờ review</t>
        </is>
      </c>
      <c r="M14" s="22" t="str"/>
      <c r="N14" s="22" t="inlineStr">
        <is>
          <t>Payment/collection cash create + allocate; SettlementEndpoints</t>
        </is>
      </c>
    </row>
    <row r="15" ht="15" customHeight="1" s="16">
      <c r="A15" s="22" t="inlineStr">
        <is>
          <t>M14</t>
        </is>
      </c>
      <c r="B15" s="22" t="inlineStr">
        <is>
          <t>D09</t>
        </is>
      </c>
      <c r="C15" s="22" t="inlineStr">
        <is>
          <t>Settlement</t>
        </is>
      </c>
      <c r="D15" s="22" t="inlineStr">
        <is>
          <t>Partial/many-to-many/unapplied/FX/reversal</t>
        </is>
      </c>
      <c r="E15" s="22" t="inlineStr">
        <is>
          <t>P0</t>
        </is>
      </c>
      <c r="F15" s="22" t="inlineStr">
        <is>
          <t>01–09</t>
        </is>
      </c>
      <c r="G15" s="22" t="str"/>
      <c r="H15" s="22" t="str"/>
      <c r="I15" s="22" t="str"/>
      <c r="J15" s="22" t="inlineStr">
        <is>
          <t>FS-15</t>
        </is>
      </c>
      <c r="K15" s="22" t="inlineStr">
        <is>
          <t>DONE</t>
        </is>
      </c>
      <c r="L15" s="22" t="inlineStr">
        <is>
          <t>Chờ review</t>
        </is>
      </c>
      <c r="M15" s="22" t="str"/>
      <c r="N15" s="22" t="inlineStr">
        <is>
          <t>Settlement FX snapshot + overpayment controls; ADR-0008/0028</t>
        </is>
      </c>
    </row>
    <row r="16" ht="15" customHeight="1" s="16">
      <c r="A16" s="22" t="inlineStr">
        <is>
          <t>M15</t>
        </is>
      </c>
      <c r="B16" s="22" t="inlineStr">
        <is>
          <t>D10</t>
        </is>
      </c>
      <c r="C16" s="22" t="inlineStr">
        <is>
          <t>Reconciliation</t>
        </is>
      </c>
      <c r="D16" s="22" t="inlineStr">
        <is>
          <t>Multi-domain recon + variance/tolerance</t>
        </is>
      </c>
      <c r="E16" s="22" t="inlineStr">
        <is>
          <t>P0</t>
        </is>
      </c>
      <c r="F16" s="22" t="inlineStr">
        <is>
          <t>01–09</t>
        </is>
      </c>
      <c r="G16" s="22" t="str"/>
      <c r="H16" s="22" t="str"/>
      <c r="I16" s="22" t="str"/>
      <c r="J16" s="22" t="inlineStr">
        <is>
          <t>FS-26</t>
        </is>
      </c>
      <c r="K16" s="22" t="inlineStr">
        <is>
          <t>DONE</t>
        </is>
      </c>
      <c r="L16" s="22" t="inlineStr">
        <is>
          <t>Chờ review</t>
        </is>
      </c>
      <c r="M16" s="22" t="str"/>
      <c r="N16" s="22" t="inlineStr">
        <is>
          <t>Reconciliation replay + match outcomes; ControlPackageTests</t>
        </is>
      </c>
    </row>
    <row r="17" ht="15" customHeight="1" s="16">
      <c r="A17" s="22" t="inlineStr">
        <is>
          <t>M16</t>
        </is>
      </c>
      <c r="B17" s="22" t="inlineStr">
        <is>
          <t>D10</t>
        </is>
      </c>
      <c r="C17" s="22" t="inlineStr">
        <is>
          <t>Exception</t>
        </is>
      </c>
      <c r="D17" s="22" t="inlineStr">
        <is>
          <t>Severity/owner/status/routing/resolution/waiver</t>
        </is>
      </c>
      <c r="E17" s="22" t="inlineStr">
        <is>
          <t>P0</t>
        </is>
      </c>
      <c r="F17" s="22" t="inlineStr">
        <is>
          <t>01–09</t>
        </is>
      </c>
      <c r="G17" s="22" t="str"/>
      <c r="H17" s="22" t="str"/>
      <c r="I17" s="22" t="str"/>
      <c r="J17" s="22" t="inlineStr">
        <is>
          <t>FS-26</t>
        </is>
      </c>
      <c r="K17" s="22" t="inlineStr">
        <is>
          <t>DONE</t>
        </is>
      </c>
      <c r="L17" s="22" t="inlineStr">
        <is>
          <t>Chờ review</t>
        </is>
      </c>
      <c r="M17" s="22" t="str"/>
      <c r="N17" s="22" t="inlineStr">
        <is>
          <t>Exception waiting/waive + severity; WaiveException</t>
        </is>
      </c>
    </row>
    <row r="18" ht="15" customHeight="1" s="16">
      <c r="A18" s="22" t="inlineStr">
        <is>
          <t>M17</t>
        </is>
      </c>
      <c r="B18" s="22" t="inlineStr">
        <is>
          <t>D10</t>
        </is>
      </c>
      <c r="C18" s="22" t="inlineStr">
        <is>
          <t>Approval</t>
        </is>
      </c>
      <c r="D18" s="22" t="inlineStr">
        <is>
          <t>Reusable approval, maker-checker, multi-level, stale target</t>
        </is>
      </c>
      <c r="E18" s="22" t="inlineStr">
        <is>
          <t>P0</t>
        </is>
      </c>
      <c r="F18" s="22" t="inlineStr">
        <is>
          <t>01–09</t>
        </is>
      </c>
      <c r="G18" s="22" t="str"/>
      <c r="H18" s="22" t="str"/>
      <c r="I18" s="22" t="str"/>
      <c r="J18" s="22" t="inlineStr">
        <is>
          <t>FS-26</t>
        </is>
      </c>
      <c r="K18" s="22" t="inlineStr">
        <is>
          <t>DONE</t>
        </is>
      </c>
      <c r="L18" s="22" t="inlineStr">
        <is>
          <t>Chờ review</t>
        </is>
      </c>
      <c r="M18" s="22" t="str"/>
      <c r="N18" s="22" t="inlineStr">
        <is>
          <t>Approval SoD + fingerprint; DecideApproval; ADR-0028</t>
        </is>
      </c>
    </row>
    <row r="19" ht="15" customHeight="1" s="16">
      <c r="A19" s="22" t="inlineStr">
        <is>
          <t>M18</t>
        </is>
      </c>
      <c r="B19" s="22" t="inlineStr">
        <is>
          <t>D11</t>
        </is>
      </c>
      <c r="C19" s="22" t="inlineStr">
        <is>
          <t>Financial Close</t>
        </is>
      </c>
      <c r="D19" s="22" t="inlineStr">
        <is>
          <t>Configurable close, immutable snapshot, late/reopen/reclose</t>
        </is>
      </c>
      <c r="E19" s="22" t="inlineStr">
        <is>
          <t>P0</t>
        </is>
      </c>
      <c r="F19" s="22" t="inlineStr">
        <is>
          <t>01–09</t>
        </is>
      </c>
      <c r="G19" s="22" t="str"/>
      <c r="H19" s="22" t="str"/>
      <c r="I19" s="22" t="str"/>
      <c r="J19" s="22" t="inlineStr">
        <is>
          <t>FS-17</t>
        </is>
      </c>
      <c r="K19" s="22" t="inlineStr">
        <is>
          <t>DONE</t>
        </is>
      </c>
      <c r="L19" s="22" t="inlineStr">
        <is>
          <t>Chờ review</t>
        </is>
      </c>
      <c r="M19" s="22" t="str"/>
      <c r="N19" s="22" t="inlineStr">
        <is>
          <t>Financial close eligibility + immutable snapshot; ADR-0010/0029</t>
        </is>
      </c>
    </row>
    <row r="20" ht="15" customHeight="1" s="16">
      <c r="A20" s="22" t="inlineStr">
        <is>
          <t>M19</t>
        </is>
      </c>
      <c r="B20" s="22" t="inlineStr">
        <is>
          <t>REPORT</t>
        </is>
      </c>
      <c r="C20" s="22" t="inlineStr">
        <is>
          <t>Reporting</t>
        </is>
      </c>
      <c r="D20" s="22" t="inlineStr">
        <is>
          <t>Canonical metric/maturity/currency/as-of/drill-down</t>
        </is>
      </c>
      <c r="E20" s="22" t="inlineStr">
        <is>
          <t>P0</t>
        </is>
      </c>
      <c r="F20" s="22" t="inlineStr">
        <is>
          <t>01–09</t>
        </is>
      </c>
      <c r="G20" s="22" t="str"/>
      <c r="H20" s="22" t="str"/>
      <c r="I20" s="22" t="str"/>
      <c r="J20" s="22" t="inlineStr">
        <is>
          <t>FS-29</t>
        </is>
      </c>
      <c r="K20" s="22" t="inlineStr">
        <is>
          <t>DONE</t>
        </is>
      </c>
      <c r="L20" s="22" t="inlineStr">
        <is>
          <t>Chờ review</t>
        </is>
      </c>
      <c r="M20" s="22" t="str"/>
      <c r="N20" s="22" t="inlineStr">
        <is>
          <t>Reports maturity/as-of/aging/cash/audit export; ADR-0029</t>
        </is>
      </c>
    </row>
    <row r="21" ht="15" customHeight="1" s="16">
      <c r="A21" s="22" t="inlineStr">
        <is>
          <t>M20</t>
        </is>
      </c>
      <c r="B21" s="22" t="inlineStr">
        <is>
          <t>D12</t>
        </is>
      </c>
      <c r="C21" s="22" t="inlineStr">
        <is>
          <t>Integration</t>
        </is>
      </c>
      <c r="D21" s="22" t="inlineStr">
        <is>
          <t>Canonical API/import, records/errors/outbox, optional connectors</t>
        </is>
      </c>
      <c r="E21" s="22" t="inlineStr">
        <is>
          <t>P0</t>
        </is>
      </c>
      <c r="F21" s="22" t="inlineStr">
        <is>
          <t>01–09</t>
        </is>
      </c>
      <c r="G21" s="22" t="str"/>
      <c r="H21" s="22" t="str"/>
      <c r="I21" s="22" t="str"/>
      <c r="J21" s="22" t="inlineStr">
        <is>
          <t>FS-11</t>
        </is>
      </c>
      <c r="K21" s="22" t="inlineStr">
        <is>
          <t>DONE</t>
        </is>
      </c>
      <c r="L21" s="22" t="inlineStr">
        <is>
          <t>Chờ review</t>
        </is>
      </c>
      <c r="M21" s="22" t="str"/>
      <c r="N21" s="22" t="inlineStr">
        <is>
          <t>Integration records/errors/outbox + job-health; SecretRedactor</t>
        </is>
      </c>
    </row>
    <row r="22" ht="15" customHeight="1" s="16">
      <c r="A22" s="22" t="inlineStr">
        <is>
          <t>M21</t>
        </is>
      </c>
      <c r="B22" s="22" t="inlineStr">
        <is>
          <t>D12</t>
        </is>
      </c>
      <c r="C22" s="22" t="inlineStr">
        <is>
          <t>Idempotency</t>
        </is>
      </c>
      <c r="D22" s="22" t="inlineStr">
        <is>
          <t>API/import/link/financial command replay safety</t>
        </is>
      </c>
      <c r="E22" s="22" t="inlineStr">
        <is>
          <t>P0</t>
        </is>
      </c>
      <c r="F22" s="22" t="inlineStr">
        <is>
          <t>01–09</t>
        </is>
      </c>
      <c r="G22" s="22" t="str"/>
      <c r="H22" s="22" t="str"/>
      <c r="I22" s="22" t="str"/>
      <c r="J22" s="22" t="inlineStr">
        <is>
          <t>FS-05</t>
        </is>
      </c>
      <c r="K22" s="22" t="inlineStr">
        <is>
          <t>DONE</t>
        </is>
      </c>
      <c r="L22" s="22" t="inlineStr">
        <is>
          <t>Chờ review</t>
        </is>
      </c>
      <c r="M22" s="22" t="str"/>
      <c r="N22" s="22" t="inlineStr">
        <is>
          <t>Idempotency-Key scopes: document/payment/cost/revenue/collection/match/recognize/close</t>
        </is>
      </c>
    </row>
    <row r="23" ht="15" customHeight="1" s="16">
      <c r="A23" s="22" t="inlineStr">
        <is>
          <t>M22</t>
        </is>
      </c>
      <c r="B23" s="22" t="inlineStr">
        <is>
          <t>D12</t>
        </is>
      </c>
      <c r="C23" s="22" t="inlineStr">
        <is>
          <t>SoT</t>
        </is>
      </c>
      <c r="D23" s="22" t="inlineStr">
        <is>
          <t>Field/object ownership + conflict handling</t>
        </is>
      </c>
      <c r="E23" s="22" t="inlineStr">
        <is>
          <t>P0</t>
        </is>
      </c>
      <c r="F23" s="22" t="inlineStr">
        <is>
          <t>01–09</t>
        </is>
      </c>
      <c r="G23" s="22" t="str"/>
      <c r="H23" s="22" t="str"/>
      <c r="I23" s="22" t="str"/>
      <c r="J23" s="22" t="inlineStr">
        <is>
          <t>FS-09</t>
        </is>
      </c>
      <c r="K23" s="22" t="inlineStr">
        <is>
          <t>DONE</t>
        </is>
      </c>
      <c r="L23" s="22" t="inlineStr">
        <is>
          <t>Chờ review</t>
        </is>
      </c>
      <c r="M23" s="22" t="str"/>
      <c r="N23" s="22" t="inlineStr">
        <is>
          <t>Operational SoT vs CMS financial layer H-002; field ownership</t>
        </is>
      </c>
    </row>
    <row r="24" ht="15" customHeight="1" s="16">
      <c r="A24" s="22" t="inlineStr">
        <is>
          <t>M23</t>
        </is>
      </c>
      <c r="B24" s="22" t="inlineStr">
        <is>
          <t>SEC</t>
        </is>
      </c>
      <c r="C24" s="22" t="inlineStr">
        <is>
          <t>Tenant Isolation</t>
        </is>
      </c>
      <c r="D24" s="22" t="inlineStr">
        <is>
          <t>UI/API/report/export/job tenant isolation</t>
        </is>
      </c>
      <c r="E24" s="22" t="inlineStr">
        <is>
          <t>P0</t>
        </is>
      </c>
      <c r="F24" s="22" t="inlineStr">
        <is>
          <t>01–09</t>
        </is>
      </c>
      <c r="G24" s="22" t="str"/>
      <c r="H24" s="22" t="str"/>
      <c r="I24" s="22" t="str"/>
      <c r="J24" s="22" t="inlineStr">
        <is>
          <t>FS-01</t>
        </is>
      </c>
      <c r="K24" s="22" t="inlineStr">
        <is>
          <t>DONE</t>
        </is>
      </c>
      <c r="L24" s="22" t="inlineStr">
        <is>
          <t>Chờ review</t>
        </is>
      </c>
      <c r="M24" s="22" t="str"/>
      <c r="N24" s="22" t="inlineStr">
        <is>
          <t>Tenant isolation query filters + X-Tenant-Id; ADR-0001</t>
        </is>
      </c>
    </row>
    <row r="25" ht="15" customHeight="1" s="16">
      <c r="A25" s="22" t="inlineStr">
        <is>
          <t>M24</t>
        </is>
      </c>
      <c r="B25" s="22" t="inlineStr">
        <is>
          <t>SEC</t>
        </is>
      </c>
      <c r="C25" s="22" t="inlineStr">
        <is>
          <t>Permission</t>
        </is>
      </c>
      <c r="D25" s="22" t="inlineStr">
        <is>
          <t>Identity × Action Permission × Data Scope; server-side</t>
        </is>
      </c>
      <c r="E25" s="22" t="inlineStr">
        <is>
          <t>P0</t>
        </is>
      </c>
      <c r="F25" s="22" t="inlineStr">
        <is>
          <t>01–09</t>
        </is>
      </c>
      <c r="G25" s="22" t="str"/>
      <c r="H25" s="22" t="str"/>
      <c r="I25" s="22" t="str"/>
      <c r="J25" s="22" t="inlineStr">
        <is>
          <t>FS-03</t>
        </is>
      </c>
      <c r="K25" s="22" t="inlineStr">
        <is>
          <t>DONE</t>
        </is>
      </c>
      <c r="L25" s="22" t="inlineStr">
        <is>
          <t>Chờ review</t>
        </is>
      </c>
      <c r="M25" s="22" t="str"/>
      <c r="N25" s="22" t="inlineStr">
        <is>
          <t>Permission action × data scope; ADR-0003</t>
        </is>
      </c>
    </row>
    <row r="26" ht="15" customHeight="1" s="16">
      <c r="A26" s="22" t="inlineStr">
        <is>
          <t>M25</t>
        </is>
      </c>
      <c r="B26" s="22" t="inlineStr">
        <is>
          <t>SEC</t>
        </is>
      </c>
      <c r="C26" s="22" t="inlineStr">
        <is>
          <t>Sensitive Finance</t>
        </is>
      </c>
      <c r="D26" s="22" t="inlineStr">
        <is>
          <t>BUY/SELL/Profitability/cash/security permission separation</t>
        </is>
      </c>
      <c r="E26" s="22" t="inlineStr">
        <is>
          <t>P0</t>
        </is>
      </c>
      <c r="F26" s="22" t="inlineStr">
        <is>
          <t>01–09</t>
        </is>
      </c>
      <c r="G26" s="22" t="str"/>
      <c r="H26" s="22" t="str"/>
      <c r="I26" s="22" t="str"/>
      <c r="J26" s="22" t="inlineStr">
        <is>
          <t>FS-04</t>
        </is>
      </c>
      <c r="K26" s="22" t="inlineStr">
        <is>
          <t>DONE</t>
        </is>
      </c>
      <c r="L26" s="22" t="inlineStr">
        <is>
          <t>Chờ review</t>
        </is>
      </c>
      <c r="M26" s="22" t="str"/>
      <c r="N26" s="22" t="inlineStr">
        <is>
          <t>View Cost ≠ View Revenue/Margin; financial privilege decoupling</t>
        </is>
      </c>
    </row>
    <row r="27" ht="15" customHeight="1" s="16">
      <c r="A27" s="22" t="inlineStr">
        <is>
          <t>M26</t>
        </is>
      </c>
      <c r="B27" s="22" t="inlineStr">
        <is>
          <t>AUDIT</t>
        </is>
      </c>
      <c r="C27" s="22" t="inlineStr">
        <is>
          <t>Audit</t>
        </is>
      </c>
      <c r="D27" s="22" t="inlineStr">
        <is>
          <t>Immutable business audit with reason/provenance/correlation</t>
        </is>
      </c>
      <c r="E27" s="22" t="inlineStr">
        <is>
          <t>P0</t>
        </is>
      </c>
      <c r="F27" s="22" t="inlineStr">
        <is>
          <t>01–09</t>
        </is>
      </c>
      <c r="G27" s="22" t="str"/>
      <c r="H27" s="22" t="str"/>
      <c r="I27" s="22" t="str"/>
      <c r="J27" s="22" t="inlineStr">
        <is>
          <t>FS-13</t>
        </is>
      </c>
      <c r="K27" s="22" t="inlineStr">
        <is>
          <t>DONE</t>
        </is>
      </c>
      <c r="L27" s="22" t="inlineStr">
        <is>
          <t>Chờ review</t>
        </is>
      </c>
      <c r="M27" s="22" t="str"/>
      <c r="N27" s="22" t="inlineStr">
        <is>
          <t>Audit events list/export; AuditIntegrationEndpoints</t>
        </is>
      </c>
    </row>
    <row r="28" ht="15" customHeight="1" s="16">
      <c r="A28" s="22" t="inlineStr">
        <is>
          <t>M27</t>
        </is>
      </c>
      <c r="B28" s="22" t="inlineStr">
        <is>
          <t>NFR</t>
        </is>
      </c>
      <c r="C28" s="22" t="inlineStr">
        <is>
          <t>Financial Integrity</t>
        </is>
      </c>
      <c r="D28" s="22" t="inlineStr">
        <is>
          <t>Atomic/concurrent/non-destructive financial commands</t>
        </is>
      </c>
      <c r="E28" s="22" t="inlineStr">
        <is>
          <t>P0</t>
        </is>
      </c>
      <c r="F28" s="22" t="inlineStr">
        <is>
          <t>01–09</t>
        </is>
      </c>
      <c r="G28" s="22" t="str"/>
      <c r="H28" s="22" t="str"/>
      <c r="I28" s="22" t="str"/>
      <c r="J28" s="22" t="inlineStr">
        <is>
          <t>FS-15</t>
        </is>
      </c>
      <c r="K28" s="22" t="inlineStr">
        <is>
          <t>DONE</t>
        </is>
      </c>
      <c r="L28" s="22" t="inlineStr">
        <is>
          <t>Chờ review</t>
        </is>
      </c>
      <c r="M28" s="22" t="str"/>
      <c r="N28" s="22" t="inlineStr">
        <is>
          <t>Money path integrity: Cost≠Payment, Revenue≠Collection; tests</t>
        </is>
      </c>
    </row>
    <row r="29" ht="15" customHeight="1" s="16">
      <c r="A29" s="22" t="inlineStr">
        <is>
          <t>M28</t>
        </is>
      </c>
      <c r="B29" s="22" t="inlineStr">
        <is>
          <t>NFR</t>
        </is>
      </c>
      <c r="C29" s="22" t="inlineStr">
        <is>
          <t>Observability</t>
        </is>
      </c>
      <c r="D29" s="22" t="inlineStr">
        <is>
          <t>Logs/metrics/correlation/jobs/errors without secret leakage</t>
        </is>
      </c>
      <c r="E29" s="22" t="inlineStr">
        <is>
          <t>P0</t>
        </is>
      </c>
      <c r="F29" s="22" t="inlineStr">
        <is>
          <t>01–09</t>
        </is>
      </c>
      <c r="G29" s="22" t="str"/>
      <c r="H29" s="22" t="str"/>
      <c r="I29" s="22" t="str"/>
      <c r="J29" s="22" t="inlineStr">
        <is>
          <t>FS-14</t>
        </is>
      </c>
      <c r="K29" s="22" t="inlineStr">
        <is>
          <t>DONE</t>
        </is>
      </c>
      <c r="L29" s="22" t="inlineStr">
        <is>
          <t>Chờ review</t>
        </is>
      </c>
      <c r="M29" s="22" t="str"/>
      <c r="N29" s="22" t="inlineStr">
        <is>
          <t>Observability: Prometheus gauges + MetricsProtect + actionable errors</t>
        </is>
      </c>
    </row>
    <row r="30" ht="15" customHeight="1" s="16">
      <c r="A30" s="22" t="inlineStr">
        <is>
          <t>M29</t>
        </is>
      </c>
      <c r="B30" s="22" t="inlineStr">
        <is>
          <t>UX</t>
        </is>
      </c>
      <c r="C30" s="22" t="inlineStr">
        <is>
          <t>Vietnamese UX</t>
        </is>
      </c>
      <c r="D30" s="22" t="inlineStr">
        <is>
          <t>Vietnamese UI terms are display source; approved terms preserved</t>
        </is>
      </c>
      <c r="E30" s="22" t="inlineStr">
        <is>
          <t>P0</t>
        </is>
      </c>
      <c r="F30" s="22" t="inlineStr">
        <is>
          <t>01–09</t>
        </is>
      </c>
      <c r="G30" s="22" t="str"/>
      <c r="H30" s="22" t="str"/>
      <c r="I30" s="22" t="str"/>
      <c r="J30" s="22" t="inlineStr">
        <is>
          <t>FS-22</t>
        </is>
      </c>
      <c r="K30" s="22" t="inlineStr">
        <is>
          <t>DONE</t>
        </is>
      </c>
      <c r="L30" s="22" t="inlineStr">
        <is>
          <t>Chờ review</t>
        </is>
      </c>
      <c r="M30" s="22" t="str"/>
      <c r="N30" s="22" t="inlineStr">
        <is>
          <t>Vietnamese CP6.5 UI hubs; AppShell + settings/policies</t>
        </is>
      </c>
    </row>
    <row r="31" ht="15" customHeight="1" s="16">
      <c r="A31" s="22" t="inlineStr">
        <is>
          <t>M30</t>
        </is>
      </c>
      <c r="B31" s="22" t="inlineStr">
        <is>
          <t>E2E</t>
        </is>
      </c>
      <c r="C31" s="22" t="inlineStr">
        <is>
          <t>End-to-End</t>
        </is>
      </c>
      <c r="D31" s="22" t="inlineStr">
        <is>
          <t>Order→Bill→Rating→Finance→Docs→AP/AR→Cash→Close traceability</t>
        </is>
      </c>
      <c r="E31" s="22" t="inlineStr">
        <is>
          <t>P0</t>
        </is>
      </c>
      <c r="F31" s="22" t="inlineStr">
        <is>
          <t>01–09</t>
        </is>
      </c>
      <c r="G31" s="22" t="str"/>
      <c r="H31" s="22" t="str"/>
      <c r="I31" s="22" t="str"/>
      <c r="J31" s="22" t="inlineStr">
        <is>
          <t>FS-26</t>
        </is>
      </c>
      <c r="K31" s="22" t="inlineStr">
        <is>
          <t>DONE</t>
        </is>
      </c>
      <c r="L31" s="22" t="inlineStr">
        <is>
          <t>Chờ review</t>
        </is>
      </c>
      <c r="M31" s="22" t="str"/>
      <c r="N31" s="22" t="inlineStr">
        <is>
          <t>E2E Bill financial path + CI Release; HardeningPackageHTests; ADR-0030</t>
        </is>
      </c>
    </row>
  </sheetData>
  <dataValidations count="2">
    <dataValidation sqref="K2:K31" showDropDown="0" showInputMessage="0" showErrorMessage="0" allowBlank="0" type="list">
      <formula1>"Chưa triển khai/DEV cập nhật,Đang làm,DONE,PARTIAL,MISSING,SAI KIẾN TRÚC,N/A APPROVED,PO WAIVED"</formula1>
    </dataValidation>
    <dataValidation sqref="L2:L31" showDropDown="0" showInputMessage="0" showErrorMessage="0" allowBlank="0" type="list">
      <formula1>"Chờ review,PASS,FAIL,NEED EVIDENCE,PO REVIEW"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6" customWidth="1" style="16" min="1" max="1"/>
    <col width="110" customWidth="1" style="16" min="2" max="2"/>
    <col width="15" customWidth="1" style="16" min="3" max="3"/>
  </cols>
  <sheetData>
    <row r="1" ht="15" customHeight="1" s="16">
      <c r="A1" s="21" t="inlineStr">
        <is>
          <t>ID</t>
        </is>
      </c>
      <c r="B1" s="21" t="inlineStr">
        <is>
          <t>Invariant</t>
        </is>
      </c>
      <c r="C1" s="21" t="inlineStr">
        <is>
          <t>Priority</t>
        </is>
      </c>
    </row>
    <row r="2" ht="15" customHeight="1" s="16">
      <c r="A2" s="22" t="inlineStr">
        <is>
          <t>INV-01</t>
        </is>
      </c>
      <c r="B2" s="22" t="inlineStr">
        <is>
          <t>LCMS ≠ TMS; Financial Control/Cost Management layer</t>
        </is>
      </c>
      <c r="C2" s="22" t="inlineStr">
        <is>
          <t>P0</t>
        </is>
      </c>
    </row>
    <row r="3" ht="15" customHeight="1" s="16">
      <c r="A3" s="22" t="inlineStr">
        <is>
          <t>INV-02</t>
        </is>
      </c>
      <c r="B3" s="22" t="inlineStr">
        <is>
          <t>Standalone core not blocked by missing API/source system</t>
        </is>
      </c>
      <c r="C3" s="22" t="inlineStr">
        <is>
          <t>P0</t>
        </is>
      </c>
    </row>
    <row r="4" ht="15" customHeight="1" s="16">
      <c r="A4" s="22" t="inlineStr">
        <is>
          <t>INV-03</t>
        </is>
      </c>
      <c r="B4" s="22" t="inlineStr">
        <is>
          <t>Bill = Financial Anchor, not God Table</t>
        </is>
      </c>
      <c r="C4" s="22" t="inlineStr">
        <is>
          <t>P0</t>
        </is>
      </c>
    </row>
    <row r="5" ht="15" customHeight="1" s="16">
      <c r="A5" s="22" t="inlineStr">
        <is>
          <t>INV-04</t>
        </is>
      </c>
      <c r="B5" s="22" t="inlineStr">
        <is>
          <t>Locked operational relationship cardinalities</t>
        </is>
      </c>
      <c r="C5" s="22" t="inlineStr">
        <is>
          <t>P0</t>
        </is>
      </c>
    </row>
    <row r="6" ht="15" customHeight="1" s="16">
      <c r="A6" s="22" t="inlineStr">
        <is>
          <t>INV-05</t>
        </is>
      </c>
      <c r="B6" s="22" t="inlineStr">
        <is>
          <t>Single Economic Cost + Single Economic Revenue</t>
        </is>
      </c>
      <c r="C6" s="22" t="inlineStr">
        <is>
          <t>P0</t>
        </is>
      </c>
    </row>
    <row r="7" ht="15" customHeight="1" s="16">
      <c r="A7" s="22" t="inlineStr">
        <is>
          <t>INV-06</t>
        </is>
      </c>
      <c r="B7" s="22" t="inlineStr">
        <is>
          <t>Expected/Confirmed/Actual maturity isolation</t>
        </is>
      </c>
      <c r="C7" s="22" t="inlineStr">
        <is>
          <t>P0</t>
        </is>
      </c>
    </row>
    <row r="8" ht="15" customHeight="1" s="16">
      <c r="A8" s="22" t="inlineStr">
        <is>
          <t>INV-07</t>
        </is>
      </c>
      <c r="B8" s="22" t="inlineStr">
        <is>
          <t>Published Rate Version immutable; rating traceable</t>
        </is>
      </c>
      <c r="C8" s="22" t="inlineStr">
        <is>
          <t>P0</t>
        </is>
      </c>
    </row>
    <row r="9" ht="15" customHeight="1" s="16">
      <c r="A9" s="22" t="inlineStr">
        <is>
          <t>INV-08</t>
        </is>
      </c>
      <c r="B9" s="22" t="inlineStr">
        <is>
          <t>Allocation conservation + superseding history</t>
        </is>
      </c>
      <c r="C9" s="22" t="inlineStr">
        <is>
          <t>P0</t>
        </is>
      </c>
    </row>
    <row r="10" ht="15" customHeight="1" s="16">
      <c r="A10" s="22" t="inlineStr">
        <is>
          <t>INV-09</t>
        </is>
      </c>
      <c r="B10" s="22" t="inlineStr">
        <is>
          <t>Document ≠ Cost/Revenue; no duplicate economic fact</t>
        </is>
      </c>
      <c r="C10" s="22" t="inlineStr">
        <is>
          <t>P0</t>
        </is>
      </c>
    </row>
    <row r="11" ht="15" customHeight="1" s="16">
      <c r="A11" s="22" t="inlineStr">
        <is>
          <t>INV-10</t>
        </is>
      </c>
      <c r="B11" s="22" t="inlineStr">
        <is>
          <t>AP/AR recognition policy-driven; cash ≠ settlement</t>
        </is>
      </c>
      <c r="C11" s="22" t="inlineStr">
        <is>
          <t>P0</t>
        </is>
      </c>
    </row>
    <row r="12" ht="15" customHeight="1" s="16">
      <c r="A12" s="22" t="inlineStr">
        <is>
          <t>INV-11</t>
        </is>
      </c>
      <c r="B12" s="22" t="inlineStr">
        <is>
          <t>Reconciliation/variance does not mutate source facts</t>
        </is>
      </c>
      <c r="C12" s="22" t="inlineStr">
        <is>
          <t>P0</t>
        </is>
      </c>
    </row>
    <row r="13" ht="15" customHeight="1" s="16">
      <c r="A13" s="22" t="inlineStr">
        <is>
          <t>INV-12</t>
        </is>
      </c>
      <c r="B13" s="22" t="inlineStr">
        <is>
          <t>Close snapshot immutable; reopen preserves history</t>
        </is>
      </c>
      <c r="C13" s="22" t="inlineStr">
        <is>
          <t>P0</t>
        </is>
      </c>
    </row>
    <row r="14" ht="15" customHeight="1" s="16">
      <c r="A14" s="22" t="inlineStr">
        <is>
          <t>INV-13</t>
        </is>
      </c>
      <c r="B14" s="22" t="inlineStr">
        <is>
          <t>Manual/Import/API same canonical rules/provenance</t>
        </is>
      </c>
      <c r="C14" s="22" t="inlineStr">
        <is>
          <t>P0</t>
        </is>
      </c>
    </row>
    <row r="15" ht="15" customHeight="1" s="16">
      <c r="A15" s="22" t="inlineStr">
        <is>
          <t>INV-14</t>
        </is>
      </c>
      <c r="B15" s="22" t="inlineStr">
        <is>
          <t>Permission separate from Approval</t>
        </is>
      </c>
      <c r="C15" s="22" t="inlineStr">
        <is>
          <t>P0</t>
        </is>
      </c>
    </row>
    <row r="16" ht="15" customHeight="1" s="16">
      <c r="A16" s="22" t="inlineStr">
        <is>
          <t>INV-15</t>
        </is>
      </c>
      <c r="B16" s="22" t="inlineStr">
        <is>
          <t>Financial mutation non-destructive; audit immutable</t>
        </is>
      </c>
      <c r="C16" s="22" t="inlineStr">
        <is>
          <t>P0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style="16" min="1" max="1"/>
    <col width="80" customWidth="1" style="16" min="2" max="2"/>
    <col width="55" customWidth="1" style="16" min="3" max="3"/>
  </cols>
  <sheetData>
    <row r="1" ht="15" customHeight="1" s="16">
      <c r="A1" s="21" t="inlineStr">
        <is>
          <t>Control</t>
        </is>
      </c>
      <c r="B1" s="21" t="inlineStr">
        <is>
          <t>Requirement</t>
        </is>
      </c>
      <c r="C1" s="21" t="inlineStr">
        <is>
          <t>Test/Evidence</t>
        </is>
      </c>
    </row>
    <row r="2" ht="15" customHeight="1" s="16">
      <c r="A2" s="22" t="inlineStr">
        <is>
          <t>Canonical validation</t>
        </is>
      </c>
      <c r="B2" s="22" t="inlineStr">
        <is>
          <t>Manual/Import/API converge on domain invariants</t>
        </is>
      </c>
      <c r="C2" s="22" t="inlineStr">
        <is>
          <t>API/import parity tests</t>
        </is>
      </c>
    </row>
    <row r="3" ht="15" customHeight="1" s="16">
      <c r="A3" s="22" t="inlineStr">
        <is>
          <t>Idempotency</t>
        </is>
      </c>
      <c r="B3" s="22" t="inlineStr">
        <is>
          <t>Same event/command does not duplicate</t>
        </is>
      </c>
      <c r="C3" s="22" t="inlineStr">
        <is>
          <t>FS-05/06/08</t>
        </is>
      </c>
    </row>
    <row r="4" ht="15" customHeight="1" s="16">
      <c r="A4" s="22" t="inlineStr">
        <is>
          <t>SoT ownership</t>
        </is>
      </c>
      <c r="B4" s="22" t="inlineStr">
        <is>
          <t>External/LCMS/shared/snapshot/derived policy</t>
        </is>
      </c>
      <c r="C4" s="22" t="inlineStr">
        <is>
          <t>FS-09/10</t>
        </is>
      </c>
    </row>
    <row r="5" ht="15" customHeight="1" s="16">
      <c r="A5" s="22" t="inlineStr">
        <is>
          <t>Retry</t>
        </is>
      </c>
      <c r="B5" s="22" t="inlineStr">
        <is>
          <t>Transient backoff; permanent actionable; no infinite retry</t>
        </is>
      </c>
      <c r="C5" s="22" t="inlineStr">
        <is>
          <t>FS-11/12</t>
        </is>
      </c>
    </row>
    <row r="6" ht="15" customHeight="1" s="16">
      <c r="A6" s="22" t="inlineStr">
        <is>
          <t>Provenance</t>
        </is>
      </c>
      <c r="B6" s="22" t="inlineStr">
        <is>
          <t>Source/system/external id/version/correlation</t>
        </is>
      </c>
      <c r="C6" s="22" t="inlineStr">
        <is>
          <t>Audit/integration records</t>
        </is>
      </c>
    </row>
    <row r="7" ht="15" customHeight="1" s="16">
      <c r="A7" s="22" t="inlineStr">
        <is>
          <t>Outbox</t>
        </is>
      </c>
      <c r="B7" s="22" t="inlineStr">
        <is>
          <t>Reliable event skeleton where async publication needed</t>
        </is>
      </c>
      <c r="C7" s="22" t="inlineStr">
        <is>
          <t>Recovery test</t>
        </is>
      </c>
    </row>
    <row r="8" ht="15" customHeight="1" s="16">
      <c r="A8" s="22" t="inlineStr">
        <is>
          <t>Webhook</t>
        </is>
      </c>
      <c r="B8" s="22" t="inlineStr">
        <is>
          <t>Signature/replay checks when provider supports</t>
        </is>
      </c>
      <c r="C8" s="22" t="inlineStr">
        <is>
          <t>Connector test</t>
        </is>
      </c>
    </row>
    <row r="9" ht="15" customHeight="1" s="16">
      <c r="A9" s="22" t="inlineStr">
        <is>
          <t>Standalone</t>
        </is>
      </c>
      <c r="B9" s="22" t="inlineStr">
        <is>
          <t>Connector disabled does not block core</t>
        </is>
      </c>
      <c r="C9" s="22" t="inlineStr">
        <is>
          <t>FS-20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style="16" min="1" max="1"/>
    <col width="78" customWidth="1" style="16" min="2" max="2"/>
    <col width="40" customWidth="1" style="16" min="3" max="3"/>
  </cols>
  <sheetData>
    <row r="1" ht="15" customHeight="1" s="16">
      <c r="A1" s="21" t="inlineStr">
        <is>
          <t>Control</t>
        </is>
      </c>
      <c r="B1" s="21" t="inlineStr">
        <is>
          <t>Requirement</t>
        </is>
      </c>
      <c r="C1" s="21" t="inlineStr">
        <is>
          <t>Test</t>
        </is>
      </c>
    </row>
    <row r="2" ht="15" customHeight="1" s="16">
      <c r="A2" s="22" t="inlineStr">
        <is>
          <t>Tenant isolation</t>
        </is>
      </c>
      <c r="B2" s="22" t="inlineStr">
        <is>
          <t>All surfaces tenant-aware</t>
        </is>
      </c>
      <c r="C2" s="22" t="inlineStr">
        <is>
          <t>FS-01/02</t>
        </is>
      </c>
    </row>
    <row r="3" ht="15" customHeight="1" s="16">
      <c r="A3" s="22" t="inlineStr">
        <is>
          <t>Action permission</t>
        </is>
      </c>
      <c r="B3" s="22" t="inlineStr">
        <is>
          <t>Server-side enforce</t>
        </is>
      </c>
      <c r="C3" s="22" t="inlineStr">
        <is>
          <t>FS-03</t>
        </is>
      </c>
    </row>
    <row r="4" ht="15" customHeight="1" s="16">
      <c r="A4" s="22" t="inlineStr">
        <is>
          <t>Data scope</t>
        </is>
      </c>
      <c r="B4" s="22" t="inlineStr">
        <is>
          <t>Row/aggregate scope</t>
        </is>
      </c>
      <c r="C4" s="22" t="inlineStr">
        <is>
          <t>FS-18/19</t>
        </is>
      </c>
    </row>
    <row r="5" ht="15" customHeight="1" s="16">
      <c r="A5" s="22" t="inlineStr">
        <is>
          <t>Sensitive BUY/Cost</t>
        </is>
      </c>
      <c r="B5" s="22" t="inlineStr">
        <is>
          <t>Separate visibility</t>
        </is>
      </c>
      <c r="C5" s="22" t="inlineStr">
        <is>
          <t>FS-04</t>
        </is>
      </c>
    </row>
    <row r="6" ht="15" customHeight="1" s="16">
      <c r="A6" s="22" t="inlineStr">
        <is>
          <t>Approval</t>
        </is>
      </c>
      <c r="B6" s="22" t="inlineStr">
        <is>
          <t>Policy + SoD separate from permission</t>
        </is>
      </c>
      <c r="C6" s="22" t="inlineStr">
        <is>
          <t>Domain tests</t>
        </is>
      </c>
    </row>
    <row r="7" ht="15" customHeight="1" s="16">
      <c r="A7" s="22" t="inlineStr">
        <is>
          <t>Secrets</t>
        </is>
      </c>
      <c r="B7" s="22" t="inlineStr">
        <is>
          <t>No plaintext/log leakage</t>
        </is>
      </c>
      <c r="C7" s="22" t="inlineStr">
        <is>
          <t>FS-14</t>
        </is>
      </c>
    </row>
    <row r="8" ht="15" customHeight="1" s="16">
      <c r="A8" s="22" t="inlineStr">
        <is>
          <t>Audit immutability</t>
        </is>
      </c>
      <c r="B8" s="22" t="inlineStr">
        <is>
          <t>No ordinary edit/delete</t>
        </is>
      </c>
      <c r="C8" s="22" t="inlineStr">
        <is>
          <t>FS-25</t>
        </is>
      </c>
    </row>
    <row r="9" ht="15" customHeight="1" s="16">
      <c r="A9" s="22" t="inlineStr">
        <is>
          <t>Export</t>
        </is>
      </c>
      <c r="B9" s="22" t="inlineStr">
        <is>
          <t>Scope/masking/audit</t>
        </is>
      </c>
      <c r="C9" s="22" t="inlineStr">
        <is>
          <t>FS-19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style="16" min="1" max="1"/>
    <col width="78" customWidth="1" style="16" min="2" max="2"/>
    <col width="45" customWidth="1" style="16" min="3" max="3"/>
  </cols>
  <sheetData>
    <row r="1" ht="15" customHeight="1" s="16">
      <c r="A1" s="21" t="inlineStr">
        <is>
          <t>Area</t>
        </is>
      </c>
      <c r="B1" s="21" t="inlineStr">
        <is>
          <t>Requirement</t>
        </is>
      </c>
      <c r="C1" s="21" t="inlineStr">
        <is>
          <t>Evidence</t>
        </is>
      </c>
    </row>
    <row r="2" ht="15" customHeight="1" s="16">
      <c r="A2" s="22" t="inlineStr">
        <is>
          <t>Transaction</t>
        </is>
      </c>
      <c r="B2" s="22" t="inlineStr">
        <is>
          <t>No half-created financial state</t>
        </is>
      </c>
      <c r="C2" s="22" t="inlineStr">
        <is>
          <t>Failure injection</t>
        </is>
      </c>
    </row>
    <row r="3" ht="15" customHeight="1" s="16">
      <c r="A3" s="22" t="inlineStr">
        <is>
          <t>Concurrency</t>
        </is>
      </c>
      <c r="B3" s="22" t="inlineStr">
        <is>
          <t>Prevent over-allocation/over-settlement/lost update</t>
        </is>
      </c>
      <c r="C3" s="22" t="inlineStr">
        <is>
          <t>FS-15/16/24</t>
        </is>
      </c>
    </row>
    <row r="4" ht="15" customHeight="1" s="16">
      <c r="A4" s="22" t="inlineStr">
        <is>
          <t>Close</t>
        </is>
      </c>
      <c r="B4" s="22" t="inlineStr">
        <is>
          <t>Retry safe/no half-close</t>
        </is>
      </c>
      <c r="C4" s="22" t="inlineStr">
        <is>
          <t>FS-17</t>
        </is>
      </c>
    </row>
    <row r="5" ht="15" customHeight="1" s="16">
      <c r="A5" s="22" t="inlineStr">
        <is>
          <t>Lists</t>
        </is>
      </c>
      <c r="B5" s="22" t="inlineStr">
        <is>
          <t>Server pagination/filter/sort/index</t>
        </is>
      </c>
      <c r="C5" s="22" t="inlineStr">
        <is>
          <t>Performance test</t>
        </is>
      </c>
    </row>
    <row r="6" ht="15" customHeight="1" s="16">
      <c r="A6" s="22" t="inlineStr">
        <is>
          <t>Reports</t>
        </is>
      </c>
      <c r="B6" s="22" t="inlineStr">
        <is>
          <t>Read model/cache/async export allowed; canonical metrics</t>
        </is>
      </c>
      <c r="C6" s="22" t="inlineStr">
        <is>
          <t>Report QA</t>
        </is>
      </c>
    </row>
    <row r="7" ht="15" customHeight="1" s="16">
      <c r="A7" s="22" t="inlineStr">
        <is>
          <t>Import</t>
        </is>
      </c>
      <c r="B7" s="22" t="inlineStr">
        <is>
          <t>Large file chunk/batch strategy</t>
        </is>
      </c>
      <c r="C7" s="22" t="inlineStr">
        <is>
          <t>Load test</t>
        </is>
      </c>
    </row>
    <row r="8" ht="15" customHeight="1" s="16">
      <c r="A8" s="22" t="inlineStr">
        <is>
          <t>Jobs</t>
        </is>
      </c>
      <c r="B8" s="22" t="inlineStr">
        <is>
          <t>Status/retry/error/correlation</t>
        </is>
      </c>
      <c r="C8" s="22" t="inlineStr">
        <is>
          <t>Ops test</t>
        </is>
      </c>
    </row>
    <row r="9" ht="15" customHeight="1" s="16">
      <c r="A9" s="22" t="inlineStr">
        <is>
          <t>Backup/Restore</t>
        </is>
      </c>
      <c r="B9" s="22" t="inlineStr">
        <is>
          <t>Configured RPO/RTO + restore test</t>
        </is>
      </c>
      <c r="C9" s="22" t="inlineStr">
        <is>
          <t>Deployment evidence</t>
        </is>
      </c>
    </row>
    <row r="10" ht="15" customHeight="1" s="16">
      <c r="A10" s="22" t="inlineStr">
        <is>
          <t>Observability</t>
        </is>
      </c>
      <c r="B10" s="22" t="inlineStr">
        <is>
          <t>Logs/metrics/traces/alerts/health</t>
        </is>
      </c>
      <c r="C10" s="22" t="inlineStr">
        <is>
          <t>Ops evidence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32" customWidth="1" style="16" min="2" max="2"/>
    <col width="62" customWidth="1" style="16" min="3" max="3"/>
    <col width="75" customWidth="1" style="16" min="4" max="4"/>
    <col width="14" customWidth="1" style="16" min="5" max="5"/>
  </cols>
  <sheetData>
    <row r="1" ht="15" customHeight="1" s="16">
      <c r="A1" s="21" t="inlineStr">
        <is>
          <t>ID</t>
        </is>
      </c>
      <c r="B1" s="21" t="inlineStr">
        <is>
          <t>Scenario</t>
        </is>
      </c>
      <c r="C1" s="21" t="inlineStr">
        <is>
          <t>Input/Setup</t>
        </is>
      </c>
      <c r="D1" s="21" t="inlineStr">
        <is>
          <t>Expected</t>
        </is>
      </c>
      <c r="E1" s="21" t="inlineStr">
        <is>
          <t>Priority</t>
        </is>
      </c>
    </row>
    <row r="2" ht="15" customHeight="1" s="16">
      <c r="A2" s="22" t="inlineStr">
        <is>
          <t>FS-01</t>
        </is>
      </c>
      <c r="B2" s="22" t="inlineStr">
        <is>
          <t>Tenant isolation API</t>
        </is>
      </c>
      <c r="C2" s="22" t="inlineStr">
        <is>
          <t>Tenant A requests B object</t>
        </is>
      </c>
      <c r="D2" s="22" t="inlineStr">
        <is>
          <t>Denied/no leakage</t>
        </is>
      </c>
      <c r="E2" s="22" t="inlineStr">
        <is>
          <t>P0</t>
        </is>
      </c>
    </row>
    <row r="3" ht="15" customHeight="1" s="16">
      <c r="A3" s="22" t="inlineStr">
        <is>
          <t>FS-02</t>
        </is>
      </c>
      <c r="B3" s="22" t="inlineStr">
        <is>
          <t>Tenant isolation report</t>
        </is>
      </c>
      <c r="C3" s="22" t="inlineStr">
        <is>
          <t>A user report</t>
        </is>
      </c>
      <c r="D3" s="22" t="inlineStr">
        <is>
          <t>No B totals/details</t>
        </is>
      </c>
      <c r="E3" s="22" t="inlineStr">
        <is>
          <t>P0</t>
        </is>
      </c>
    </row>
    <row r="4" ht="15" customHeight="1" s="16">
      <c r="A4" s="22" t="inlineStr">
        <is>
          <t>FS-03</t>
        </is>
      </c>
      <c r="B4" s="22" t="inlineStr">
        <is>
          <t>Permission server-side</t>
        </is>
      </c>
      <c r="C4" s="22" t="inlineStr">
        <is>
          <t>Call hidden action directly</t>
        </is>
      </c>
      <c r="D4" s="22" t="inlineStr">
        <is>
          <t>Denied</t>
        </is>
      </c>
      <c r="E4" s="22" t="inlineStr">
        <is>
          <t>P0</t>
        </is>
      </c>
    </row>
    <row r="5" ht="15" customHeight="1" s="16">
      <c r="A5" s="22" t="inlineStr">
        <is>
          <t>FS-04</t>
        </is>
      </c>
      <c r="B5" s="22" t="inlineStr">
        <is>
          <t>BUY sensitivity</t>
        </is>
      </c>
      <c r="C5" s="22" t="inlineStr">
        <is>
          <t>Revenue-only role</t>
        </is>
      </c>
      <c r="D5" s="22" t="inlineStr">
        <is>
          <t>Cost/BUY hidden</t>
        </is>
      </c>
      <c r="E5" s="22" t="inlineStr">
        <is>
          <t>P0</t>
        </is>
      </c>
    </row>
    <row r="6" ht="15" customHeight="1" s="16">
      <c r="A6" s="22" t="inlineStr">
        <is>
          <t>FS-05</t>
        </is>
      </c>
      <c r="B6" s="22" t="inlineStr">
        <is>
          <t>Idempotent API</t>
        </is>
      </c>
      <c r="C6" s="22" t="inlineStr">
        <is>
          <t>Replay same mutation</t>
        </is>
      </c>
      <c r="D6" s="22" t="inlineStr">
        <is>
          <t>One semantic result</t>
        </is>
      </c>
      <c r="E6" s="22" t="inlineStr">
        <is>
          <t>P0</t>
        </is>
      </c>
    </row>
    <row r="7" ht="15" customHeight="1" s="16">
      <c r="A7" s="22" t="inlineStr">
        <is>
          <t>FS-06</t>
        </is>
      </c>
      <c r="B7" s="22" t="inlineStr">
        <is>
          <t>Idempotency conflict</t>
        </is>
      </c>
      <c r="C7" s="22" t="inlineStr">
        <is>
          <t>Same key/different payload</t>
        </is>
      </c>
      <c r="D7" s="22" t="inlineStr">
        <is>
          <t>Conflict</t>
        </is>
      </c>
      <c r="E7" s="22" t="inlineStr">
        <is>
          <t>P0</t>
        </is>
      </c>
    </row>
    <row r="8" ht="15" customHeight="1" s="16">
      <c r="A8" s="22" t="inlineStr">
        <is>
          <t>FS-07</t>
        </is>
      </c>
      <c r="B8" s="22" t="inlineStr">
        <is>
          <t>Import preview</t>
        </is>
      </c>
      <c r="C8" s="22" t="inlineStr">
        <is>
          <t>Mixed valid/invalid rows</t>
        </is>
      </c>
      <c r="D8" s="22" t="inlineStr">
        <is>
          <t>Clear preview/errors</t>
        </is>
      </c>
      <c r="E8" s="22" t="inlineStr">
        <is>
          <t>P0</t>
        </is>
      </c>
    </row>
    <row r="9" ht="15" customHeight="1" s="16">
      <c r="A9" s="22" t="inlineStr">
        <is>
          <t>FS-08</t>
        </is>
      </c>
      <c r="B9" s="22" t="inlineStr">
        <is>
          <t>Import replay</t>
        </is>
      </c>
      <c r="C9" s="22" t="inlineStr">
        <is>
          <t>Same batch/rows</t>
        </is>
      </c>
      <c r="D9" s="22" t="inlineStr">
        <is>
          <t>No duplicate</t>
        </is>
      </c>
      <c r="E9" s="22" t="inlineStr">
        <is>
          <t>P0</t>
        </is>
      </c>
    </row>
    <row r="10" ht="15" customHeight="1" s="16">
      <c r="A10" s="22" t="inlineStr">
        <is>
          <t>FS-09</t>
        </is>
      </c>
      <c r="B10" s="22" t="inlineStr">
        <is>
          <t>SoT conflict</t>
        </is>
      </c>
      <c r="C10" s="22" t="inlineStr">
        <is>
          <t>Manual overwrite external-owned</t>
        </is>
      </c>
      <c r="D10" s="22" t="inlineStr">
        <is>
          <t>Block/exception</t>
        </is>
      </c>
      <c r="E10" s="22" t="inlineStr">
        <is>
          <t>P0</t>
        </is>
      </c>
    </row>
    <row r="11" ht="15" customHeight="1" s="16">
      <c r="A11" s="22" t="inlineStr">
        <is>
          <t>FS-10</t>
        </is>
      </c>
      <c r="B11" s="22" t="inlineStr">
        <is>
          <t>LCMS ownership</t>
        </is>
      </c>
      <c r="C11" s="22" t="inlineStr">
        <is>
          <t>External overwrite LCMS-owned</t>
        </is>
      </c>
      <c r="D11" s="22" t="inlineStr">
        <is>
          <t>Block/resolve</t>
        </is>
      </c>
      <c r="E11" s="22" t="inlineStr">
        <is>
          <t>P0</t>
        </is>
      </c>
    </row>
    <row r="12" ht="15" customHeight="1" s="16">
      <c r="A12" s="22" t="inlineStr">
        <is>
          <t>FS-11</t>
        </is>
      </c>
      <c r="B12" s="22" t="inlineStr">
        <is>
          <t>Transient integration</t>
        </is>
      </c>
      <c r="C12" s="22" t="inlineStr">
        <is>
          <t>Timeout</t>
        </is>
      </c>
      <c r="D12" s="22" t="inlineStr">
        <is>
          <t>Safe retry/no duplicate</t>
        </is>
      </c>
      <c r="E12" s="22" t="inlineStr">
        <is>
          <t>P0</t>
        </is>
      </c>
    </row>
    <row r="13" ht="15" customHeight="1" s="16">
      <c r="A13" s="22" t="inlineStr">
        <is>
          <t>FS-12</t>
        </is>
      </c>
      <c r="B13" s="22" t="inlineStr">
        <is>
          <t>Permanent integration</t>
        </is>
      </c>
      <c r="C13" s="22" t="inlineStr">
        <is>
          <t>Invalid external request</t>
        </is>
      </c>
      <c r="D13" s="22" t="inlineStr">
        <is>
          <t>Actionable failure/no infinite retry</t>
        </is>
      </c>
      <c r="E13" s="22" t="inlineStr">
        <is>
          <t>P0</t>
        </is>
      </c>
    </row>
    <row r="14" ht="15" customHeight="1" s="16">
      <c r="A14" s="22" t="inlineStr">
        <is>
          <t>FS-13</t>
        </is>
      </c>
      <c r="B14" s="22" t="inlineStr">
        <is>
          <t>Audit adjustment</t>
        </is>
      </c>
      <c r="C14" s="22" t="inlineStr">
        <is>
          <t>Financial adjustment</t>
        </is>
      </c>
      <c r="D14" s="22" t="inlineStr">
        <is>
          <t>Actor/reason/delta/source</t>
        </is>
      </c>
      <c r="E14" s="22" t="inlineStr">
        <is>
          <t>P0</t>
        </is>
      </c>
    </row>
    <row r="15" ht="15" customHeight="1" s="16">
      <c r="A15" s="22" t="inlineStr">
        <is>
          <t>FS-14</t>
        </is>
      </c>
      <c r="B15" s="22" t="inlineStr">
        <is>
          <t>Secret redaction</t>
        </is>
      </c>
      <c r="C15" s="22" t="inlineStr">
        <is>
          <t>Connector error</t>
        </is>
      </c>
      <c r="D15" s="22" t="inlineStr">
        <is>
          <t>No secret/token in logs</t>
        </is>
      </c>
      <c r="E15" s="22" t="inlineStr">
        <is>
          <t>P0</t>
        </is>
      </c>
    </row>
    <row r="16" ht="15" customHeight="1" s="16">
      <c r="A16" s="22" t="inlineStr">
        <is>
          <t>FS-15</t>
        </is>
      </c>
      <c r="B16" s="22" t="inlineStr">
        <is>
          <t>Settlement race</t>
        </is>
      </c>
      <c r="C16" s="22" t="inlineStr">
        <is>
          <t>Concurrent allocators</t>
        </is>
      </c>
      <c r="D16" s="22" t="inlineStr">
        <is>
          <t>No over-settlement</t>
        </is>
      </c>
      <c r="E16" s="22" t="inlineStr">
        <is>
          <t>P0</t>
        </is>
      </c>
    </row>
    <row r="17" ht="15" customHeight="1" s="16">
      <c r="A17" s="22" t="inlineStr">
        <is>
          <t>FS-16</t>
        </is>
      </c>
      <c r="B17" s="22" t="inlineStr">
        <is>
          <t>Allocation race</t>
        </is>
      </c>
      <c r="C17" s="22" t="inlineStr">
        <is>
          <t>Concurrent finalize</t>
        </is>
      </c>
      <c r="D17" s="22" t="inlineStr">
        <is>
          <t>One valid finalized version</t>
        </is>
      </c>
      <c r="E17" s="22" t="inlineStr">
        <is>
          <t>P0</t>
        </is>
      </c>
    </row>
    <row r="18" ht="15" customHeight="1" s="16">
      <c r="A18" s="22" t="inlineStr">
        <is>
          <t>FS-17</t>
        </is>
      </c>
      <c r="B18" s="22" t="inlineStr">
        <is>
          <t>Close retry</t>
        </is>
      </c>
      <c r="C18" s="22" t="inlineStr">
        <is>
          <t>Crash/retry</t>
        </is>
      </c>
      <c r="D18" s="22" t="inlineStr">
        <is>
          <t>No duplicate/half-close</t>
        </is>
      </c>
      <c r="E18" s="22" t="inlineStr">
        <is>
          <t>P0</t>
        </is>
      </c>
    </row>
    <row r="19" ht="15" customHeight="1" s="16">
      <c r="A19" s="22" t="inlineStr">
        <is>
          <t>FS-18</t>
        </is>
      </c>
      <c r="B19" s="22" t="inlineStr">
        <is>
          <t>Report scope</t>
        </is>
      </c>
      <c r="C19" s="22" t="inlineStr">
        <is>
          <t>Restricted branch</t>
        </is>
      </c>
      <c r="D19" s="22" t="inlineStr">
        <is>
          <t>No aggregate leakage</t>
        </is>
      </c>
      <c r="E19" s="22" t="inlineStr">
        <is>
          <t>P0</t>
        </is>
      </c>
    </row>
    <row r="20" ht="15" customHeight="1" s="16">
      <c r="A20" s="22" t="inlineStr">
        <is>
          <t>FS-19</t>
        </is>
      </c>
      <c r="B20" s="22" t="inlineStr">
        <is>
          <t>Export scope</t>
        </is>
      </c>
      <c r="C20" s="22" t="inlineStr">
        <is>
          <t>Restricted export</t>
        </is>
      </c>
      <c r="D20" s="22" t="inlineStr">
        <is>
          <t>Authorized only + audit</t>
        </is>
      </c>
      <c r="E20" s="22" t="inlineStr">
        <is>
          <t>P0</t>
        </is>
      </c>
    </row>
    <row r="21" ht="15" customHeight="1" s="16">
      <c r="A21" s="22" t="inlineStr">
        <is>
          <t>FS-20</t>
        </is>
      </c>
      <c r="B21" s="22" t="inlineStr">
        <is>
          <t>Standalone</t>
        </is>
      </c>
      <c r="C21" s="22" t="inlineStr">
        <is>
          <t>No connectors</t>
        </is>
      </c>
      <c r="D21" s="22" t="inlineStr">
        <is>
          <t>Core workflows usable</t>
        </is>
      </c>
      <c r="E21" s="22" t="inlineStr">
        <is>
          <t>P0</t>
        </is>
      </c>
    </row>
    <row r="22" ht="15" customHeight="1" s="16">
      <c r="A22" s="22" t="inlineStr">
        <is>
          <t>FS-21</t>
        </is>
      </c>
      <c r="B22" s="22" t="inlineStr">
        <is>
          <t>Derived CRUD</t>
        </is>
      </c>
      <c r="C22" s="22" t="inlineStr">
        <is>
          <t>Direct create derived/control object</t>
        </is>
      </c>
      <c r="D22" s="22" t="inlineStr">
        <is>
          <t>Rejected</t>
        </is>
      </c>
      <c r="E22" s="22" t="inlineStr">
        <is>
          <t>P0</t>
        </is>
      </c>
    </row>
    <row r="23" ht="15" customHeight="1" s="16">
      <c r="A23" s="22" t="inlineStr">
        <is>
          <t>FS-22</t>
        </is>
      </c>
      <c r="B23" s="22" t="inlineStr">
        <is>
          <t>Vietnamese UX</t>
        </is>
      </c>
      <c r="C23" s="22" t="inlineStr">
        <is>
          <t>Approved screen</t>
        </is>
      </c>
      <c r="D23" s="22" t="inlineStr">
        <is>
          <t>Display Vietnamese terms, not code keys</t>
        </is>
      </c>
      <c r="E23" s="22" t="inlineStr">
        <is>
          <t>P0</t>
        </is>
      </c>
    </row>
    <row r="24" ht="15" customHeight="1" s="16">
      <c r="A24" s="22" t="inlineStr">
        <is>
          <t>FS-23</t>
        </is>
      </c>
      <c r="B24" s="22" t="inlineStr">
        <is>
          <t>Safe error</t>
        </is>
      </c>
      <c r="C24" s="22" t="inlineStr">
        <is>
          <t>Unhandled business error</t>
        </is>
      </c>
      <c r="D24" s="22" t="inlineStr">
        <is>
          <t>Stable code/correlation; no stack/secret</t>
        </is>
      </c>
      <c r="E24" s="22" t="inlineStr">
        <is>
          <t>P0</t>
        </is>
      </c>
    </row>
    <row r="25" ht="15" customHeight="1" s="16">
      <c r="A25" s="22" t="inlineStr">
        <is>
          <t>FS-24</t>
        </is>
      </c>
      <c r="B25" s="22" t="inlineStr">
        <is>
          <t>Optimistic conflict</t>
        </is>
      </c>
      <c r="C25" s="22" t="inlineStr">
        <is>
          <t>Concurrent draft edit</t>
        </is>
      </c>
      <c r="D25" s="22" t="inlineStr">
        <is>
          <t>Lost update detected/prevented</t>
        </is>
      </c>
      <c r="E25" s="22" t="inlineStr">
        <is>
          <t>P0</t>
        </is>
      </c>
    </row>
    <row r="26" ht="15" customHeight="1" s="16">
      <c r="A26" s="22" t="inlineStr">
        <is>
          <t>FS-25</t>
        </is>
      </c>
      <c r="B26" s="22" t="inlineStr">
        <is>
          <t>Audit immutability</t>
        </is>
      </c>
      <c r="C26" s="22" t="inlineStr">
        <is>
          <t>Ordinary audit edit/delete</t>
        </is>
      </c>
      <c r="D26" s="22" t="inlineStr">
        <is>
          <t>Denied</t>
        </is>
      </c>
      <c r="E26" s="22" t="inlineStr">
        <is>
          <t>P0</t>
        </is>
      </c>
    </row>
    <row r="27" ht="15" customHeight="1" s="16">
      <c r="A27" s="22" t="inlineStr">
        <is>
          <t>FS-26</t>
        </is>
      </c>
      <c r="B27" s="22" t="inlineStr">
        <is>
          <t>Cross-domain E2E</t>
        </is>
      </c>
      <c r="C27" s="22" t="inlineStr">
        <is>
          <t>Order→Bill→Rating→Finance→Docs→AP/AR→Cash→Close</t>
        </is>
      </c>
      <c r="D27" s="22" t="inlineStr">
        <is>
          <t>Traceable E2E</t>
        </is>
      </c>
      <c r="E27" s="22" t="inlineStr">
        <is>
          <t>P0</t>
        </is>
      </c>
    </row>
    <row r="28" ht="15" customHeight="1" s="16">
      <c r="A28" s="22" t="inlineStr">
        <is>
          <t>FS-27</t>
        </is>
      </c>
      <c r="B28" s="22" t="inlineStr">
        <is>
          <t>Optional depth</t>
        </is>
      </c>
      <c r="C28" s="22" t="inlineStr">
        <is>
          <t>Bill-only tenant</t>
        </is>
      </c>
      <c r="D28" s="22" t="inlineStr">
        <is>
          <t>Core finance works</t>
        </is>
      </c>
      <c r="E28" s="22" t="inlineStr">
        <is>
          <t>P0</t>
        </is>
      </c>
    </row>
    <row r="29" ht="15" customHeight="1" s="16">
      <c r="A29" s="22" t="inlineStr">
        <is>
          <t>FS-28</t>
        </is>
      </c>
      <c r="B29" s="22" t="inlineStr">
        <is>
          <t>Deep refs</t>
        </is>
      </c>
      <c r="C29" s="22" t="inlineStr">
        <is>
          <t>Bill across Shipment/Leg/Movement</t>
        </is>
      </c>
      <c r="D29" s="22" t="inlineStr">
        <is>
          <t>Graph/drill-down valid</t>
        </is>
      </c>
      <c r="E29" s="22" t="inlineStr">
        <is>
          <t>P0</t>
        </is>
      </c>
    </row>
    <row r="30" ht="15" customHeight="1" s="16">
      <c r="A30" s="22" t="inlineStr">
        <is>
          <t>FS-29</t>
        </is>
      </c>
      <c r="B30" s="22" t="inlineStr">
        <is>
          <t>Historical report</t>
        </is>
      </c>
      <c r="C30" s="22" t="inlineStr">
        <is>
          <t>Current master/FX changes</t>
        </is>
      </c>
      <c r="D30" s="22" t="inlineStr">
        <is>
          <t>Closed/as-of stable</t>
        </is>
      </c>
      <c r="E30" s="22" t="inlineStr">
        <is>
          <t>P0</t>
        </is>
      </c>
    </row>
    <row r="31" ht="15" customHeight="1" s="16">
      <c r="A31" s="22" t="inlineStr">
        <is>
          <t>FS-30</t>
        </is>
      </c>
      <c r="B31" s="22" t="inlineStr">
        <is>
          <t>Final gate</t>
        </is>
      </c>
      <c r="C31" s="22" t="inlineStr">
        <is>
          <t>Any P0 open architecture/gap</t>
        </is>
      </c>
      <c r="D31" s="22" t="inlineStr">
        <is>
          <t>Acceptance blocked unless PO WAIVED</t>
        </is>
      </c>
      <c r="E31" s="22" t="inlineStr">
        <is>
          <t>P0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style="16" min="1" max="1"/>
    <col width="28" customWidth="1" style="16" min="2" max="2"/>
    <col width="78" customWidth="1" style="16" min="3" max="3"/>
    <col width="18" customWidth="1" style="16" min="4" max="4"/>
  </cols>
  <sheetData>
    <row r="1" ht="15" customHeight="1" s="16">
      <c r="A1" s="21" t="inlineStr">
        <is>
          <t>Gate</t>
        </is>
      </c>
      <c r="B1" s="21" t="inlineStr">
        <is>
          <t>Area</t>
        </is>
      </c>
      <c r="C1" s="21" t="inlineStr">
        <is>
          <t>Pass Condition</t>
        </is>
      </c>
      <c r="D1" s="21" t="inlineStr">
        <is>
          <t>Status</t>
        </is>
      </c>
    </row>
    <row r="2" ht="15" customHeight="1" s="16">
      <c r="A2" s="22" t="inlineStr">
        <is>
          <t>G1</t>
        </is>
      </c>
      <c r="B2" s="22" t="inlineStr">
        <is>
          <t>Functional Coverage</t>
        </is>
      </c>
      <c r="C2" s="22" t="inlineStr">
        <is>
          <t>All P0 File 01–08 mapped</t>
        </is>
      </c>
      <c r="D2" s="22" t="inlineStr">
        <is>
          <t>OPEN</t>
        </is>
      </c>
    </row>
    <row r="3" ht="15" customHeight="1" s="16">
      <c r="A3" s="22" t="inlineStr">
        <is>
          <t>G2</t>
        </is>
      </c>
      <c r="B3" s="22" t="inlineStr">
        <is>
          <t>Data/API/UI</t>
        </is>
      </c>
      <c r="C3" s="22" t="inlineStr">
        <is>
          <t>Implementation surfaces mapped</t>
        </is>
      </c>
      <c r="D3" s="22" t="inlineStr">
        <is>
          <t>OPEN</t>
        </is>
      </c>
    </row>
    <row r="4" ht="15" customHeight="1" s="16">
      <c r="A4" s="22" t="inlineStr">
        <is>
          <t>G3</t>
        </is>
      </c>
      <c r="B4" s="22" t="inlineStr">
        <is>
          <t>Business Rules</t>
        </is>
      </c>
      <c r="C4" s="22" t="inlineStr">
        <is>
          <t>Algorithms/states/invariants verified</t>
        </is>
      </c>
      <c r="D4" s="22" t="inlineStr">
        <is>
          <t>OPEN</t>
        </is>
      </c>
    </row>
    <row r="5" ht="15" customHeight="1" s="16">
      <c r="A5" s="22" t="inlineStr">
        <is>
          <t>G4</t>
        </is>
      </c>
      <c r="B5" s="22" t="inlineStr">
        <is>
          <t>Security</t>
        </is>
      </c>
      <c r="C5" s="22" t="inlineStr">
        <is>
          <t>Tenant/action/data scope pass</t>
        </is>
      </c>
      <c r="D5" s="22" t="inlineStr">
        <is>
          <t>OPEN</t>
        </is>
      </c>
    </row>
    <row r="6" ht="15" customHeight="1" s="16">
      <c r="A6" s="22" t="inlineStr">
        <is>
          <t>G5</t>
        </is>
      </c>
      <c r="B6" s="22" t="inlineStr">
        <is>
          <t>Integration</t>
        </is>
      </c>
      <c r="C6" s="22" t="inlineStr">
        <is>
          <t>Idempotency/SoT/retry/provenance pass</t>
        </is>
      </c>
      <c r="D6" s="22" t="inlineStr">
        <is>
          <t>OPEN</t>
        </is>
      </c>
    </row>
    <row r="7" ht="15" customHeight="1" s="16">
      <c r="A7" s="22" t="inlineStr">
        <is>
          <t>G6</t>
        </is>
      </c>
      <c r="B7" s="22" t="inlineStr">
        <is>
          <t>Financial Integrity</t>
        </is>
      </c>
      <c r="C7" s="22" t="inlineStr">
        <is>
          <t>Non-destructive/close/history pass</t>
        </is>
      </c>
      <c r="D7" s="22" t="inlineStr">
        <is>
          <t>OPEN</t>
        </is>
      </c>
    </row>
    <row r="8" ht="15" customHeight="1" s="16">
      <c r="A8" s="22" t="inlineStr">
        <is>
          <t>G7</t>
        </is>
      </c>
      <c r="B8" s="22" t="inlineStr">
        <is>
          <t>Reporting</t>
        </is>
      </c>
      <c r="C8" s="22" t="inlineStr">
        <is>
          <t>Metric/as-of/currency/drill-down pass</t>
        </is>
      </c>
      <c r="D8" s="22" t="inlineStr">
        <is>
          <t>OPEN</t>
        </is>
      </c>
    </row>
    <row r="9" ht="15" customHeight="1" s="16">
      <c r="A9" s="22" t="inlineStr">
        <is>
          <t>G8</t>
        </is>
      </c>
      <c r="B9" s="22" t="inlineStr">
        <is>
          <t>QA</t>
        </is>
      </c>
      <c r="C9" s="22" t="inlineStr">
        <is>
          <t>P0 test evidence attached</t>
        </is>
      </c>
      <c r="D9" s="22" t="inlineStr">
        <is>
          <t>OPEN</t>
        </is>
      </c>
    </row>
    <row r="10" ht="15" customHeight="1" s="16">
      <c r="A10" s="22" t="inlineStr">
        <is>
          <t>G9</t>
        </is>
      </c>
      <c r="B10" s="22" t="inlineStr">
        <is>
          <t>Architecture</t>
        </is>
      </c>
      <c r="C10" s="22" t="inlineStr">
        <is>
          <t>No SAI KIẾN TRÚC open</t>
        </is>
      </c>
      <c r="D10" s="22" t="inlineStr">
        <is>
          <t>OPEN</t>
        </is>
      </c>
    </row>
    <row r="11" ht="15" customHeight="1" s="16">
      <c r="A11" s="22" t="inlineStr">
        <is>
          <t>G10</t>
        </is>
      </c>
      <c r="B11" s="22" t="inlineStr">
        <is>
          <t>PO Acceptance</t>
        </is>
      </c>
      <c r="C11" s="22" t="inlineStr">
        <is>
          <t>Remaining gaps resolved/waived explicitly</t>
        </is>
      </c>
      <c r="D11" s="22" t="inlineStr">
        <is>
          <t>OPEN</t>
        </is>
      </c>
    </row>
  </sheetData>
  <dataValidations count="1">
    <dataValidation sqref="D2:D11" showDropDown="0" showInputMessage="0" showErrorMessage="0" allowBlank="0" type="list">
      <formula1>"OPEN,PASS,FAIL,PO REVIEW"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style="16" min="1" max="1"/>
    <col width="85" customWidth="1" style="16" min="2" max="2"/>
    <col width="35" customWidth="1" style="16" min="3" max="3"/>
  </cols>
  <sheetData>
    <row r="1" ht="15" customHeight="1" s="16">
      <c r="A1" s="21" t="inlineStr">
        <is>
          <t>Status</t>
        </is>
      </c>
      <c r="B1" s="21" t="inlineStr">
        <is>
          <t>Definition</t>
        </is>
      </c>
      <c r="C1" s="21" t="inlineStr">
        <is>
          <t>P0 Final Acceptance</t>
        </is>
      </c>
    </row>
    <row r="2" ht="15" customHeight="1" s="16">
      <c r="A2" s="22" t="inlineStr">
        <is>
          <t>DONE</t>
        </is>
      </c>
      <c r="B2" s="22" t="inlineStr">
        <is>
          <t>Implemented + evidence/test conforms</t>
        </is>
      </c>
      <c r="C2" s="22" t="inlineStr">
        <is>
          <t>PASS</t>
        </is>
      </c>
    </row>
    <row r="3" ht="15" customHeight="1" s="16">
      <c r="A3" s="22" t="inlineStr">
        <is>
          <t>PARTIAL</t>
        </is>
      </c>
      <c r="B3" s="22" t="inlineStr">
        <is>
          <t>Some required behavior missing</t>
        </is>
      </c>
      <c r="C3" s="22" t="inlineStr">
        <is>
          <t>BLOCK</t>
        </is>
      </c>
    </row>
    <row r="4" ht="15" customHeight="1" s="16">
      <c r="A4" s="22" t="inlineStr">
        <is>
          <t>MISSING</t>
        </is>
      </c>
      <c r="B4" s="22" t="inlineStr">
        <is>
          <t>Not implemented</t>
        </is>
      </c>
      <c r="C4" s="22" t="inlineStr">
        <is>
          <t>BLOCK</t>
        </is>
      </c>
    </row>
    <row r="5" ht="15" customHeight="1" s="16">
      <c r="A5" s="22" t="inlineStr">
        <is>
          <t>SAI KIẾN TRÚC</t>
        </is>
      </c>
      <c r="B5" s="22" t="inlineStr">
        <is>
          <t>Contradicts locked architecture</t>
        </is>
      </c>
      <c r="C5" s="22" t="inlineStr">
        <is>
          <t>BLOCK / MUST FIX</t>
        </is>
      </c>
    </row>
    <row r="6" ht="15" customHeight="1" s="16">
      <c r="A6" s="22" t="inlineStr">
        <is>
          <t>N/A APPROVED</t>
        </is>
      </c>
      <c r="B6" s="22" t="inlineStr">
        <is>
          <t>Explicitly not applicable by approved scope/capability</t>
        </is>
      </c>
      <c r="C6" s="22" t="inlineStr">
        <is>
          <t>PASS with evidence</t>
        </is>
      </c>
    </row>
    <row r="7" ht="15" customHeight="1" s="16">
      <c r="A7" s="22" t="inlineStr">
        <is>
          <t>PO WAIVED</t>
        </is>
      </c>
      <c r="B7" s="22" t="inlineStr">
        <is>
          <t>PO explicitly accepts gap/risk</t>
        </is>
      </c>
      <c r="C7" s="22" t="inlineStr">
        <is>
          <t>PASS only with recorded decision</t>
        </is>
      </c>
    </row>
    <row r="8" ht="15" customHeight="1" s="16">
      <c r="A8" s="22" t="inlineStr">
        <is>
          <t>Chưa triển khai/DEV cập nhật</t>
        </is>
      </c>
      <c r="B8" s="22" t="inlineStr">
        <is>
          <t>Initial tracking state</t>
        </is>
      </c>
      <c r="C8" s="22" t="inlineStr">
        <is>
          <t>OPEN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style="16" min="1" max="1"/>
    <col width="32" customWidth="1" style="16" min="2" max="2"/>
  </cols>
  <sheetData>
    <row r="1">
      <c r="A1" s="19" t="inlineStr">
        <is>
          <t>Chỉ số</t>
        </is>
      </c>
      <c r="B1" s="19" t="inlineStr">
        <is>
          <t>Giá trị</t>
        </is>
      </c>
    </row>
    <row r="2">
      <c r="A2" s="22" t="inlineStr">
        <is>
          <t>Tổng requirements</t>
        </is>
      </c>
      <c r="B2" s="22">
        <f>COUNTA('Final Traceability'!A2:A31)</f>
        <v/>
      </c>
    </row>
    <row r="3">
      <c r="A3" s="22" t="inlineStr">
        <is>
          <t>DONE</t>
        </is>
      </c>
      <c r="B3" s="22">
        <f>COUNTIF('Final Traceability'!K2:K31,"DONE")</f>
        <v/>
      </c>
    </row>
    <row r="4">
      <c r="A4" s="22" t="inlineStr">
        <is>
          <t>PARTIAL</t>
        </is>
      </c>
      <c r="B4" s="22">
        <f>COUNTIF('Final Traceability'!K2:K31,"PARTIAL")</f>
        <v/>
      </c>
    </row>
    <row r="5">
      <c r="A5" s="22" t="inlineStr">
        <is>
          <t>MISSING</t>
        </is>
      </c>
      <c r="B5" s="22">
        <f>COUNTIF('Final Traceability'!K2:K31,"MISSING")</f>
        <v/>
      </c>
    </row>
    <row r="6">
      <c r="A6" s="22" t="inlineStr">
        <is>
          <t>SAI KIẾN TRÚC</t>
        </is>
      </c>
      <c r="B6" s="22">
        <f>COUNTIF('Final Traceability'!K2:K31,"SAI KIẾN TRÚC")</f>
        <v/>
      </c>
    </row>
    <row r="7">
      <c r="A7" s="22" t="inlineStr">
        <is>
          <t>PO WAIVED</t>
        </is>
      </c>
      <c r="B7" s="22">
        <f>COUNTIF('Final Traceability'!K2:K31,"PO WAIVED")</f>
        <v/>
      </c>
    </row>
    <row r="8">
      <c r="A8" s="22" t="inlineStr">
        <is>
          <t>P0 blockers</t>
        </is>
      </c>
      <c r="B8" s="22">
        <f>COUNTIFS('Final Traceability'!E2:E31,"P0",'Final Traceability'!K2:K31,"PARTIAL")+COUNTIFS('Final Traceability'!E2:E31,"P0",'Final Traceability'!K2:K31,"MISSING")+COUNTIFS('Final Traceability'!E2:E31,"P0",'Final Traceability'!K2:K31,"SAI KIẾN TRÚC")</f>
        <v/>
      </c>
    </row>
    <row r="9">
      <c r="A9" s="22" t="inlineStr">
        <is>
          <t>Gate PASS</t>
        </is>
      </c>
      <c r="B9" s="22">
        <f>COUNTIF('Handover Gates'!D2:D11,"PASS")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29" customWidth="1" style="16" min="2" max="2"/>
    <col width="70" customWidth="1" style="16" min="3" max="3"/>
    <col width="31" customWidth="1" style="16" min="4" max="4"/>
    <col width="70" customWidth="1" style="16" min="5" max="5"/>
    <col width="20" customWidth="1" style="16" min="6" max="6"/>
    <col width="14" customWidth="1" style="16" min="7" max="7"/>
  </cols>
  <sheetData>
    <row r="1">
      <c r="A1" s="14" t="inlineStr">
        <is>
          <t>Review ID</t>
        </is>
      </c>
      <c r="B1" s="14" t="inlineStr">
        <is>
          <t>Area</t>
        </is>
      </c>
      <c r="C1" s="14" t="inlineStr">
        <is>
          <t>Finding</t>
        </is>
      </c>
      <c r="D1" s="14" t="inlineStr">
        <is>
          <t>Classification</t>
        </is>
      </c>
      <c r="E1" s="14" t="inlineStr">
        <is>
          <t>Required Closure</t>
        </is>
      </c>
      <c r="F1" s="14" t="inlineStr">
        <is>
          <t>Mapped Requirement</t>
        </is>
      </c>
      <c r="G1" s="14" t="inlineStr">
        <is>
          <t>Status</t>
        </is>
      </c>
    </row>
    <row r="2">
      <c r="A2" s="24" t="inlineStr">
        <is>
          <t>FR-001</t>
        </is>
      </c>
      <c r="B2" s="24" t="inlineStr">
        <is>
          <t>D03 Operational Reference</t>
        </is>
      </c>
      <c r="C2" s="24" t="inlineStr">
        <is>
          <t>GAP-001 Party Contact/Snapshot must be explicit implementation item</t>
        </is>
      </c>
      <c r="D2" s="24" t="inlineStr">
        <is>
          <t>MISSING IN FINAL TRACEABILITY</t>
        </is>
      </c>
      <c r="E2" s="24" t="inlineStr">
        <is>
          <t>Implement canonical contact/address + role-based transaction snapshot</t>
        </is>
      </c>
      <c r="F2" s="24" t="inlineStr">
        <is>
          <t>M02/M03</t>
        </is>
      </c>
      <c r="G2" s="24" t="inlineStr">
        <is>
          <t>OPEN</t>
        </is>
      </c>
    </row>
    <row r="3">
      <c r="A3" s="24" t="inlineStr">
        <is>
          <t>FR-002</t>
        </is>
      </c>
      <c r="B3" s="24" t="inlineStr">
        <is>
          <t>D03 Operational Reference</t>
        </is>
      </c>
      <c r="C3" s="24" t="inlineStr">
        <is>
          <t>GAP-002 Location/Route normalized model</t>
        </is>
      </c>
      <c r="D3" s="24" t="inlineStr">
        <is>
          <t>MISSING IN FINAL TRACEABILITY</t>
        </is>
      </c>
      <c r="E3" s="24" t="inlineStr">
        <is>
          <t>Implement normalized Location/Route and remove rating/import dependence on free-text</t>
        </is>
      </c>
      <c r="F3" s="24" t="inlineStr">
        <is>
          <t>M02/M03/M06</t>
        </is>
      </c>
      <c r="G3" s="24" t="inlineStr">
        <is>
          <t>OPEN</t>
        </is>
      </c>
    </row>
    <row r="4">
      <c r="A4" s="24" t="inlineStr">
        <is>
          <t>FR-003</t>
        </is>
      </c>
      <c r="B4" s="24" t="inlineStr">
        <is>
          <t>D03 Operational Reference</t>
        </is>
      </c>
      <c r="C4" s="24" t="inlineStr">
        <is>
          <t>GAP-003 Commodity/Cargo taxonomy/flags</t>
        </is>
      </c>
      <c r="D4" s="24" t="inlineStr">
        <is>
          <t>MISSING IN FINAL TRACEABILITY</t>
        </is>
      </c>
      <c r="E4" s="24" t="inlineStr">
        <is>
          <t>Implement canonical taxonomy/flags for applicability/surcharge</t>
        </is>
      </c>
      <c r="F4" s="24" t="inlineStr">
        <is>
          <t>M02/M03/M06</t>
        </is>
      </c>
      <c r="G4" s="24" t="inlineStr">
        <is>
          <t>OPEN</t>
        </is>
      </c>
    </row>
    <row r="5">
      <c r="A5" s="24" t="inlineStr">
        <is>
          <t>FR-004</t>
        </is>
      </c>
      <c r="B5" s="24" t="inlineStr">
        <is>
          <t>D03 Operational Reference</t>
        </is>
      </c>
      <c r="C5" s="24" t="inlineStr">
        <is>
          <t>GAP-004 field depth Order/Bill/Shipment/Leg/Movement</t>
        </is>
      </c>
      <c r="D5" s="24" t="inlineStr">
        <is>
          <t>MISSING IN FINAL TRACEABILITY</t>
        </is>
      </c>
      <c r="E5" s="24" t="inlineStr">
        <is>
          <t>Implement field-level context defined in File 02</t>
        </is>
      </c>
      <c r="F5" s="24" t="inlineStr">
        <is>
          <t>M03</t>
        </is>
      </c>
      <c r="G5" s="24" t="inlineStr">
        <is>
          <t>OPEN</t>
        </is>
      </c>
    </row>
    <row r="6">
      <c r="A6" s="24" t="inlineStr">
        <is>
          <t>FR-005</t>
        </is>
      </c>
      <c r="B6" s="24" t="inlineStr">
        <is>
          <t>D03 Operational Reference</t>
        </is>
      </c>
      <c r="C6" s="24" t="inlineStr">
        <is>
          <t>GAP-005 Measurement canonical owner/UOM/source/calculation trace</t>
        </is>
      </c>
      <c r="D6" s="24" t="inlineStr">
        <is>
          <t>MISSING IN FINAL TRACEABILITY</t>
        </is>
      </c>
      <c r="E6" s="24" t="inlineStr">
        <is>
          <t>Implement canonical measurement + provenance/calculation trace</t>
        </is>
      </c>
      <c r="F6" s="24" t="inlineStr">
        <is>
          <t>M03/M06</t>
        </is>
      </c>
      <c r="G6" s="24" t="inlineStr">
        <is>
          <t>OPEN</t>
        </is>
      </c>
    </row>
    <row r="7">
      <c r="A7" s="24" t="inlineStr">
        <is>
          <t>FR-006</t>
        </is>
      </c>
      <c r="B7" s="24" t="inlineStr">
        <is>
          <t>D03 Operational Reference</t>
        </is>
      </c>
      <c r="C7" s="24" t="inlineStr">
        <is>
          <t>GAP-006 Package/Container child structure</t>
        </is>
      </c>
      <c r="D7" s="24" t="inlineStr">
        <is>
          <t>MISSING IN FINAL TRACEABILITY</t>
        </is>
      </c>
      <c r="E7" s="24" t="inlineStr">
        <is>
          <t>Implement LCMS-required child structure without execution tracking</t>
        </is>
      </c>
      <c r="F7" s="24" t="inlineStr">
        <is>
          <t>M03</t>
        </is>
      </c>
      <c r="G7" s="24" t="inlineStr">
        <is>
          <t>OPEN</t>
        </is>
      </c>
    </row>
    <row r="8">
      <c r="A8" s="24" t="inlineStr">
        <is>
          <t>FR-007</t>
        </is>
      </c>
      <c r="B8" s="24" t="inlineStr">
        <is>
          <t>D03→D04</t>
        </is>
      </c>
      <c r="C8" s="24" t="inlineStr">
        <is>
          <t>GAP-007 deterministic Rating Context assembler/DTO + immutable snapshot</t>
        </is>
      </c>
      <c r="D8" s="24" t="inlineStr">
        <is>
          <t>MISSING IN FINAL TRACEABILITY</t>
        </is>
      </c>
      <c r="E8" s="24" t="inlineStr">
        <is>
          <t>Implement rating-context assembly contract and snapshot</t>
        </is>
      </c>
      <c r="F8" s="24" t="inlineStr">
        <is>
          <t>M03/M06</t>
        </is>
      </c>
      <c r="G8" s="24" t="inlineStr">
        <is>
          <t>OPEN</t>
        </is>
      </c>
    </row>
    <row r="9">
      <c r="A9" s="24" t="inlineStr">
        <is>
          <t>FR-008</t>
        </is>
      </c>
      <c r="B9" s="24" t="inlineStr">
        <is>
          <t>D03 UI/API</t>
        </is>
      </c>
      <c r="C9" s="24" t="inlineStr">
        <is>
          <t>GAP-008 Cross-navigation LIST/GET/SEARCH/RELATED/DEEP-LINK</t>
        </is>
      </c>
      <c r="D9" s="24" t="inlineStr">
        <is>
          <t>MISSING IN FINAL TRACEABILITY</t>
        </is>
      </c>
      <c r="E9" s="24" t="inlineStr">
        <is>
          <t>Implement and test cross-navigation</t>
        </is>
      </c>
      <c r="F9" s="24" t="inlineStr">
        <is>
          <t>M03</t>
        </is>
      </c>
      <c r="G9" s="24" t="inlineStr">
        <is>
          <t>OPEN</t>
        </is>
      </c>
    </row>
    <row r="10">
      <c r="A10" s="24" t="inlineStr">
        <is>
          <t>FR-009</t>
        </is>
      </c>
      <c r="B10" s="24" t="inlineStr">
        <is>
          <t>D03/D12</t>
        </is>
      </c>
      <c r="C10" s="24" t="inlineStr">
        <is>
          <t>GAP-009 source ownership enforcement</t>
        </is>
      </c>
      <c r="D10" s="24" t="inlineStr">
        <is>
          <t>MISSING IN FINAL TRACEABILITY</t>
        </is>
      </c>
      <c r="E10" s="24" t="inlineStr">
        <is>
          <t>Enforce source_type/source_system/external_id + conflict policy</t>
        </is>
      </c>
      <c r="F10" s="24" t="inlineStr">
        <is>
          <t>M03/M22</t>
        </is>
      </c>
      <c r="G10" s="24" t="inlineStr">
        <is>
          <t>OPEN</t>
        </is>
      </c>
    </row>
    <row r="11">
      <c r="A11" s="24" t="inlineStr">
        <is>
          <t>FR-010</t>
        </is>
      </c>
      <c r="B11" s="24" t="inlineStr">
        <is>
          <t>D06 Revenue</t>
        </is>
      </c>
      <c r="C11" s="24" t="inlineStr">
        <is>
          <t>Shared Revenue across Bills has conservation rule but persistence/API mapping must be explicit</t>
        </is>
      </c>
      <c r="D11" s="24" t="inlineStr">
        <is>
          <t>SPEC DETAIL TO LOCK</t>
        </is>
      </c>
      <c r="E11" s="24" t="inlineStr">
        <is>
          <t>Define revenue_mapping/allocation object, line amounts, conservation, supersede and API contract</t>
        </is>
      </c>
      <c r="F11" s="24" t="inlineStr">
        <is>
          <t>M09/M10</t>
        </is>
      </c>
      <c r="G11" s="24" t="inlineStr">
        <is>
          <t>OPEN</t>
        </is>
      </c>
    </row>
    <row r="12">
      <c r="A12" s="24" t="inlineStr">
        <is>
          <t>FR-011</t>
        </is>
      </c>
      <c r="B12" s="24" t="inlineStr">
        <is>
          <t>Cross-cutting Configuration</t>
        </is>
      </c>
      <c r="C12" s="24" t="inlineStr">
        <is>
          <t>Policies are configurable but owner/default/version/effective dates are not uniformly represented</t>
        </is>
      </c>
      <c r="D12" s="24" t="inlineStr">
        <is>
          <t>SPEC DETAIL TO LOCK</t>
        </is>
      </c>
      <c r="E12" s="24" t="inlineStr">
        <is>
          <t>Create canonical Policy Registry contract used by rating, SoT, allocation, recognition, tolerance, approval, close, aging</t>
        </is>
      </c>
      <c r="F12" s="24" t="inlineStr">
        <is>
          <t>M01/M22</t>
        </is>
      </c>
      <c r="G12" s="24" t="inlineStr">
        <is>
          <t>OPEN</t>
        </is>
      </c>
    </row>
    <row r="13">
      <c r="A13" s="24" t="inlineStr">
        <is>
          <t>FR-012</t>
        </is>
      </c>
      <c r="B13" s="24" t="inlineStr">
        <is>
          <t>Final Traceability</t>
        </is>
      </c>
      <c r="C13" s="24" t="inlineStr">
        <is>
          <t>30 group-level rows are too coarse to prove every File 01–08 requirement is mapped</t>
        </is>
      </c>
      <c r="D13" s="24" t="inlineStr">
        <is>
          <t>TRACEABILITY GRANULARITY</t>
        </is>
      </c>
      <c r="E13" s="24" t="inlineStr">
        <is>
          <t>Expand to requirement-level rows before final DEV acceptance</t>
        </is>
      </c>
      <c r="F13" s="24" t="inlineStr">
        <is>
          <t>M01-M30</t>
        </is>
      </c>
      <c r="G13" s="24" t="inlineStr">
        <is>
          <t>OPEN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14" customWidth="1" style="16" min="2" max="2"/>
    <col width="35" customWidth="1" style="16" min="3" max="3"/>
    <col width="14" customWidth="1" style="16" min="4" max="4"/>
    <col width="41" customWidth="1" style="16" min="5" max="5"/>
    <col width="14" customWidth="1" style="16" min="6" max="6"/>
  </cols>
  <sheetData>
    <row r="1">
      <c r="A1" s="14" t="inlineStr">
        <is>
          <t>Gap ID</t>
        </is>
      </c>
      <c r="B1" s="14" t="inlineStr">
        <is>
          <t>Source</t>
        </is>
      </c>
      <c r="C1" s="14" t="inlineStr">
        <is>
          <t>Requirement</t>
        </is>
      </c>
      <c r="D1" s="14" t="inlineStr">
        <is>
          <t>Final Gate</t>
        </is>
      </c>
      <c r="E1" s="14" t="inlineStr">
        <is>
          <t>Closure Evidence</t>
        </is>
      </c>
      <c r="F1" s="14" t="inlineStr">
        <is>
          <t>Status</t>
        </is>
      </c>
    </row>
    <row r="2">
      <c r="A2" s="24" t="inlineStr">
        <is>
          <t>GAP-001</t>
        </is>
      </c>
      <c r="B2" s="24" t="inlineStr">
        <is>
          <t>File 02A/02B</t>
        </is>
      </c>
      <c r="C2" s="24" t="inlineStr">
        <is>
          <t>Party Contact/Snapshot</t>
        </is>
      </c>
      <c r="D2" s="24" t="inlineStr">
        <is>
          <t>G1/G2/G3/G5</t>
        </is>
      </c>
      <c r="E2" s="24" t="inlineStr">
        <is>
          <t>DEV artifact + API/DB/UI mapping + test</t>
        </is>
      </c>
      <c r="F2" s="24" t="inlineStr">
        <is>
          <t>OPEN</t>
        </is>
      </c>
    </row>
    <row r="3">
      <c r="A3" s="24" t="inlineStr">
        <is>
          <t>GAP-002</t>
        </is>
      </c>
      <c r="B3" s="24" t="inlineStr">
        <is>
          <t>File 02A/02B</t>
        </is>
      </c>
      <c r="C3" s="24" t="inlineStr">
        <is>
          <t>Normalized Location/Route</t>
        </is>
      </c>
      <c r="D3" s="24" t="inlineStr">
        <is>
          <t>G1/G2/G3/G5</t>
        </is>
      </c>
      <c r="E3" s="24" t="inlineStr">
        <is>
          <t>DEV artifact + API/DB/UI mapping + test</t>
        </is>
      </c>
      <c r="F3" s="24" t="inlineStr">
        <is>
          <t>OPEN</t>
        </is>
      </c>
    </row>
    <row r="4">
      <c r="A4" s="24" t="inlineStr">
        <is>
          <t>GAP-003</t>
        </is>
      </c>
      <c r="B4" s="24" t="inlineStr">
        <is>
          <t>File 02A/02B</t>
        </is>
      </c>
      <c r="C4" s="24" t="inlineStr">
        <is>
          <t>Commodity/Cargo taxonomy</t>
        </is>
      </c>
      <c r="D4" s="24" t="inlineStr">
        <is>
          <t>G1/G2/G3/G5</t>
        </is>
      </c>
      <c r="E4" s="24" t="inlineStr">
        <is>
          <t>DEV artifact + API/DB/UI mapping + test</t>
        </is>
      </c>
      <c r="F4" s="24" t="inlineStr">
        <is>
          <t>OPEN</t>
        </is>
      </c>
    </row>
    <row r="5">
      <c r="A5" s="24" t="inlineStr">
        <is>
          <t>GAP-004</t>
        </is>
      </c>
      <c r="B5" s="24" t="inlineStr">
        <is>
          <t>File 02A/02B</t>
        </is>
      </c>
      <c r="C5" s="24" t="inlineStr">
        <is>
          <t>Operational field depth</t>
        </is>
      </c>
      <c r="D5" s="24" t="inlineStr">
        <is>
          <t>G1/G2/G3/G5</t>
        </is>
      </c>
      <c r="E5" s="24" t="inlineStr">
        <is>
          <t>DEV artifact + API/DB/UI mapping + test</t>
        </is>
      </c>
      <c r="F5" s="24" t="inlineStr">
        <is>
          <t>OPEN</t>
        </is>
      </c>
    </row>
    <row r="6">
      <c r="A6" s="24" t="inlineStr">
        <is>
          <t>GAP-005</t>
        </is>
      </c>
      <c r="B6" s="24" t="inlineStr">
        <is>
          <t>File 02A/02B</t>
        </is>
      </c>
      <c r="C6" s="24" t="inlineStr">
        <is>
          <t>Measurement canonical model</t>
        </is>
      </c>
      <c r="D6" s="24" t="inlineStr">
        <is>
          <t>G1/G2/G3/G5</t>
        </is>
      </c>
      <c r="E6" s="24" t="inlineStr">
        <is>
          <t>DEV artifact + API/DB/UI mapping + test</t>
        </is>
      </c>
      <c r="F6" s="24" t="inlineStr">
        <is>
          <t>OPEN</t>
        </is>
      </c>
    </row>
    <row r="7">
      <c r="A7" s="24" t="inlineStr">
        <is>
          <t>GAP-006</t>
        </is>
      </c>
      <c r="B7" s="24" t="inlineStr">
        <is>
          <t>File 02A/02B</t>
        </is>
      </c>
      <c r="C7" s="24" t="inlineStr">
        <is>
          <t>Package/Container child structure</t>
        </is>
      </c>
      <c r="D7" s="24" t="inlineStr">
        <is>
          <t>G1/G2/G3/G5</t>
        </is>
      </c>
      <c r="E7" s="24" t="inlineStr">
        <is>
          <t>DEV artifact + API/DB/UI mapping + test</t>
        </is>
      </c>
      <c r="F7" s="24" t="inlineStr">
        <is>
          <t>OPEN</t>
        </is>
      </c>
    </row>
    <row r="8">
      <c r="A8" s="24" t="inlineStr">
        <is>
          <t>GAP-007</t>
        </is>
      </c>
      <c r="B8" s="24" t="inlineStr">
        <is>
          <t>File 02A/02B</t>
        </is>
      </c>
      <c r="C8" s="24" t="inlineStr">
        <is>
          <t>Rating Context assembler/snapshot</t>
        </is>
      </c>
      <c r="D8" s="24" t="inlineStr">
        <is>
          <t>G1/G2/G3/G5</t>
        </is>
      </c>
      <c r="E8" s="24" t="inlineStr">
        <is>
          <t>DEV artifact + API/DB/UI mapping + test</t>
        </is>
      </c>
      <c r="F8" s="24" t="inlineStr">
        <is>
          <t>OPEN</t>
        </is>
      </c>
    </row>
    <row r="9">
      <c r="A9" s="24" t="inlineStr">
        <is>
          <t>GAP-008</t>
        </is>
      </c>
      <c r="B9" s="24" t="inlineStr">
        <is>
          <t>File 02A/02B</t>
        </is>
      </c>
      <c r="C9" s="24" t="inlineStr">
        <is>
          <t>Cross-navigation</t>
        </is>
      </c>
      <c r="D9" s="24" t="inlineStr">
        <is>
          <t>G1/G2/G3/G5</t>
        </is>
      </c>
      <c r="E9" s="24" t="inlineStr">
        <is>
          <t>DEV artifact + API/DB/UI mapping + test</t>
        </is>
      </c>
      <c r="F9" s="24" t="inlineStr">
        <is>
          <t>OPEN</t>
        </is>
      </c>
    </row>
    <row r="10">
      <c r="A10" s="24" t="inlineStr">
        <is>
          <t>GAP-009</t>
        </is>
      </c>
      <c r="B10" s="24" t="inlineStr">
        <is>
          <t>File 02A/02B</t>
        </is>
      </c>
      <c r="C10" s="24" t="inlineStr">
        <is>
          <t>Source ownership enforcement</t>
        </is>
      </c>
      <c r="D10" s="24" t="inlineStr">
        <is>
          <t>G1/G2/G3/G5</t>
        </is>
      </c>
      <c r="E10" s="24" t="inlineStr">
        <is>
          <t>DEV artifact + API/DB/UI mapping + test</t>
        </is>
      </c>
      <c r="F10" s="24" t="inlineStr">
        <is>
          <t>OPEN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style="16" min="1" max="1"/>
    <col width="14" customWidth="1" style="16" min="2" max="2"/>
    <col width="28" customWidth="1" style="16" min="3" max="3"/>
    <col width="18" customWidth="1" style="16" min="4" max="4"/>
    <col width="14" customWidth="1" style="16" min="5" max="5"/>
    <col width="18" customWidth="1" style="16" min="6" max="6"/>
    <col width="44" customWidth="1" style="16" min="7" max="7"/>
  </cols>
  <sheetData>
    <row r="1">
      <c r="A1" s="14" t="inlineStr">
        <is>
          <t>Policy Key</t>
        </is>
      </c>
      <c r="B1" s="14" t="inlineStr">
        <is>
          <t>Domain</t>
        </is>
      </c>
      <c r="C1" s="14" t="inlineStr">
        <is>
          <t>Owner</t>
        </is>
      </c>
      <c r="D1" s="14" t="inlineStr">
        <is>
          <t>Default Required</t>
        </is>
      </c>
      <c r="E1" s="14" t="inlineStr">
        <is>
          <t>Versioned</t>
        </is>
      </c>
      <c r="F1" s="14" t="inlineStr">
        <is>
          <t>Effective Dating</t>
        </is>
      </c>
      <c r="G1" s="14" t="inlineStr">
        <is>
          <t>Examples/Notes</t>
        </is>
      </c>
      <c r="H1" t="inlineStr">
        <is>
          <t>DEV Registry</t>
        </is>
      </c>
    </row>
    <row r="2">
      <c r="A2" s="24" t="inlineStr">
        <is>
          <t>OPERATIONAL_SOURCE_OWNERSHIP</t>
        </is>
      </c>
      <c r="B2" s="24" t="inlineStr">
        <is>
          <t>D03/D12</t>
        </is>
      </c>
      <c r="C2" s="24" t="inlineStr">
        <is>
          <t>Tenant Admin/System Admin</t>
        </is>
      </c>
      <c r="D2" s="24" t="inlineStr">
        <is>
          <t>Y</t>
        </is>
      </c>
      <c r="E2" s="24" t="inlineStr">
        <is>
          <t>Y</t>
        </is>
      </c>
      <c r="F2" s="24" t="inlineStr">
        <is>
          <t>Y</t>
        </is>
      </c>
      <c r="G2" s="24" t="inlineStr">
        <is>
          <t>External/LCMS/shared ownership</t>
        </is>
      </c>
      <c r="H2" t="inlineStr">
        <is>
          <t>policies table + /api/policies + /settings/policies (Package H)</t>
        </is>
      </c>
    </row>
    <row r="3">
      <c r="A3" s="24" t="inlineStr">
        <is>
          <t>RATING_POLICY</t>
        </is>
      </c>
      <c r="B3" s="24" t="inlineStr">
        <is>
          <t>D04</t>
        </is>
      </c>
      <c r="C3" s="24" t="inlineStr">
        <is>
          <t>Pricing Admin</t>
        </is>
      </c>
      <c r="D3" s="24" t="inlineStr">
        <is>
          <t>Y</t>
        </is>
      </c>
      <c r="E3" s="24" t="inlineStr">
        <is>
          <t>Y</t>
        </is>
      </c>
      <c r="F3" s="24" t="inlineStr">
        <is>
          <t>Y</t>
        </is>
      </c>
      <c r="G3" s="24" t="inlineStr">
        <is>
          <t>Calculation/rounding/FX/applicability</t>
        </is>
      </c>
      <c r="H3" t="inlineStr">
        <is>
          <t>policies table + /api/policies + /settings/policies (Package H)</t>
        </is>
      </c>
    </row>
    <row r="4">
      <c r="A4" s="24" t="inlineStr">
        <is>
          <t>COST_ALLOCATION_POLICY</t>
        </is>
      </c>
      <c r="B4" s="24" t="inlineStr">
        <is>
          <t>D05</t>
        </is>
      </c>
      <c r="C4" s="24" t="inlineStr">
        <is>
          <t>Finance Admin</t>
        </is>
      </c>
      <c r="D4" s="24" t="inlineStr">
        <is>
          <t>Y</t>
        </is>
      </c>
      <c r="E4" s="24" t="inlineStr">
        <is>
          <t>Y</t>
        </is>
      </c>
      <c r="F4" s="24" t="inlineStr">
        <is>
          <t>Y</t>
        </is>
      </c>
      <c r="G4" s="24" t="inlineStr">
        <is>
          <t>Basis, residual, eligibility</t>
        </is>
      </c>
      <c r="H4" t="inlineStr">
        <is>
          <t>policies table + /api/policies + /settings/policies (Package H)</t>
        </is>
      </c>
    </row>
    <row r="5">
      <c r="A5" s="24" t="inlineStr">
        <is>
          <t>REVENUE_SOT_POLICY</t>
        </is>
      </c>
      <c r="B5" s="24" t="inlineStr">
        <is>
          <t>D06</t>
        </is>
      </c>
      <c r="C5" s="24" t="inlineStr">
        <is>
          <t>Finance Admin</t>
        </is>
      </c>
      <c r="D5" s="24" t="inlineStr">
        <is>
          <t>Y</t>
        </is>
      </c>
      <c r="E5" s="24" t="inlineStr">
        <is>
          <t>Y</t>
        </is>
      </c>
      <c r="F5" s="24" t="inlineStr">
        <is>
          <t>Y</t>
        </is>
      </c>
      <c r="G5" s="24" t="inlineStr">
        <is>
          <t>Expected/Confirmed/Actual source selection</t>
        </is>
      </c>
      <c r="H5" t="inlineStr">
        <is>
          <t>policies table + /api/policies + /settings/policies (Package H)</t>
        </is>
      </c>
    </row>
    <row r="6">
      <c r="A6" s="24" t="inlineStr">
        <is>
          <t>REVENUE_MAPPING_POLICY</t>
        </is>
      </c>
      <c r="B6" s="24" t="inlineStr">
        <is>
          <t>D06</t>
        </is>
      </c>
      <c r="C6" s="24" t="inlineStr">
        <is>
          <t>Finance Admin</t>
        </is>
      </c>
      <c r="D6" s="24" t="inlineStr">
        <is>
          <t>Y</t>
        </is>
      </c>
      <c r="E6" s="24" t="inlineStr">
        <is>
          <t>Y</t>
        </is>
      </c>
      <c r="F6" s="24" t="inlineStr">
        <is>
          <t>Y</t>
        </is>
      </c>
      <c r="G6" s="24" t="inlineStr">
        <is>
          <t>Shared revenue mapping/conservation</t>
        </is>
      </c>
      <c r="H6" t="inlineStr">
        <is>
          <t>policies table + /api/policies + /settings/policies (Package H)</t>
        </is>
      </c>
    </row>
    <row r="7">
      <c r="A7" s="24" t="inlineStr">
        <is>
          <t>DOCUMENT_MATCH_POLICY</t>
        </is>
      </c>
      <c r="B7" s="24" t="inlineStr">
        <is>
          <t>D07</t>
        </is>
      </c>
      <c r="C7" s="24" t="inlineStr">
        <is>
          <t>Finance Admin</t>
        </is>
      </c>
      <c r="D7" s="24" t="inlineStr">
        <is>
          <t>Y</t>
        </is>
      </c>
      <c r="E7" s="24" t="inlineStr">
        <is>
          <t>Y</t>
        </is>
      </c>
      <c r="F7" s="24" t="inlineStr">
        <is>
          <t>Y</t>
        </is>
      </c>
      <c r="G7" s="24" t="inlineStr">
        <is>
          <t>Tolerance/auto-match</t>
        </is>
      </c>
      <c r="H7" t="inlineStr">
        <is>
          <t>policies table + /api/policies + /settings/policies (Package H)</t>
        </is>
      </c>
    </row>
    <row r="8">
      <c r="A8" s="24" t="inlineStr">
        <is>
          <t>AP_AR_RECOGNITION_POLICY</t>
        </is>
      </c>
      <c r="B8" s="24" t="inlineStr">
        <is>
          <t>D08</t>
        </is>
      </c>
      <c r="C8" s="24" t="inlineStr">
        <is>
          <t>Finance Admin</t>
        </is>
      </c>
      <c r="D8" s="24" t="inlineStr">
        <is>
          <t>Y</t>
        </is>
      </c>
      <c r="E8" s="24" t="inlineStr">
        <is>
          <t>Y</t>
        </is>
      </c>
      <c r="F8" s="24" t="inlineStr">
        <is>
          <t>Y</t>
        </is>
      </c>
      <c r="G8" s="24" t="inlineStr">
        <is>
          <t>Document/economic/hybrid</t>
        </is>
      </c>
      <c r="H8" t="inlineStr">
        <is>
          <t>policies table + /api/policies + /settings/policies (Package H)</t>
        </is>
      </c>
    </row>
    <row r="9">
      <c r="A9" s="24" t="inlineStr">
        <is>
          <t>AGING_POLICY</t>
        </is>
      </c>
      <c r="B9" s="24" t="inlineStr">
        <is>
          <t>D08</t>
        </is>
      </c>
      <c r="C9" s="24" t="inlineStr">
        <is>
          <t>Finance Admin</t>
        </is>
      </c>
      <c r="D9" s="24" t="inlineStr">
        <is>
          <t>Y</t>
        </is>
      </c>
      <c r="E9" s="24" t="inlineStr">
        <is>
          <t>Y</t>
        </is>
      </c>
      <c r="F9" s="24" t="inlineStr">
        <is>
          <t>Y</t>
        </is>
      </c>
      <c r="G9" s="24" t="inlineStr">
        <is>
          <t>Date basis/buckets</t>
        </is>
      </c>
      <c r="H9" t="inlineStr">
        <is>
          <t>policies table + /api/policies + /settings/policies (Package H)</t>
        </is>
      </c>
    </row>
    <row r="10">
      <c r="A10" s="24" t="inlineStr">
        <is>
          <t>SETTLEMENT_POLICY</t>
        </is>
      </c>
      <c r="B10" s="24" t="inlineStr">
        <is>
          <t>D09</t>
        </is>
      </c>
      <c r="C10" s="24" t="inlineStr">
        <is>
          <t>Finance Admin</t>
        </is>
      </c>
      <c r="D10" s="24" t="inlineStr">
        <is>
          <t>Y</t>
        </is>
      </c>
      <c r="E10" s="24" t="inlineStr">
        <is>
          <t>Y</t>
        </is>
      </c>
      <c r="F10" s="24" t="inlineStr">
        <is>
          <t>Y</t>
        </is>
      </c>
      <c r="G10" s="24" t="inlineStr">
        <is>
          <t>FX/overpayment/application</t>
        </is>
      </c>
      <c r="H10" t="inlineStr">
        <is>
          <t>policies table + /api/policies + /settings/policies (Package H)</t>
        </is>
      </c>
    </row>
    <row r="11">
      <c r="A11" s="24" t="inlineStr">
        <is>
          <t>RECON_TOLERANCE_POLICY</t>
        </is>
      </c>
      <c r="B11" s="24" t="inlineStr">
        <is>
          <t>D10</t>
        </is>
      </c>
      <c r="C11" s="24" t="inlineStr">
        <is>
          <t>Finance Admin</t>
        </is>
      </c>
      <c r="D11" s="24" t="inlineStr">
        <is>
          <t>Y</t>
        </is>
      </c>
      <c r="E11" s="24" t="inlineStr">
        <is>
          <t>Y</t>
        </is>
      </c>
      <c r="F11" s="24" t="inlineStr">
        <is>
          <t>Y</t>
        </is>
      </c>
      <c r="G11" s="24" t="inlineStr">
        <is>
          <t>Tolerance/severity/routing</t>
        </is>
      </c>
      <c r="H11" t="inlineStr">
        <is>
          <t>policies table + /api/policies + /settings/policies (Package H)</t>
        </is>
      </c>
    </row>
    <row r="12">
      <c r="A12" s="24" t="inlineStr">
        <is>
          <t>APPROVAL_POLICY</t>
        </is>
      </c>
      <c r="B12" s="24" t="inlineStr">
        <is>
          <t>D10</t>
        </is>
      </c>
      <c r="C12" s="24" t="inlineStr">
        <is>
          <t>Tenant Admin/Finance Admin</t>
        </is>
      </c>
      <c r="D12" s="24" t="inlineStr">
        <is>
          <t>Y</t>
        </is>
      </c>
      <c r="E12" s="24" t="inlineStr">
        <is>
          <t>Y</t>
        </is>
      </c>
      <c r="F12" s="24" t="inlineStr">
        <is>
          <t>Y</t>
        </is>
      </c>
      <c r="G12" s="24" t="inlineStr">
        <is>
          <t>Threshold/SoD/multi-level</t>
        </is>
      </c>
      <c r="H12" t="inlineStr">
        <is>
          <t>policies table + /api/policies + /settings/policies (Package H)</t>
        </is>
      </c>
    </row>
    <row r="13">
      <c r="A13" s="24" t="inlineStr">
        <is>
          <t>FINANCIAL_CLOSE_POLICY</t>
        </is>
      </c>
      <c r="B13" s="24" t="inlineStr">
        <is>
          <t>D11</t>
        </is>
      </c>
      <c r="C13" s="24" t="inlineStr">
        <is>
          <t>Finance Admin</t>
        </is>
      </c>
      <c r="D13" s="24" t="inlineStr">
        <is>
          <t>Y</t>
        </is>
      </c>
      <c r="E13" s="24" t="inlineStr">
        <is>
          <t>Y</t>
        </is>
      </c>
      <c r="F13" s="24" t="inlineStr">
        <is>
          <t>Y</t>
        </is>
      </c>
      <c r="G13" s="24" t="inlineStr">
        <is>
          <t>Blocking checks/late/reopen</t>
        </is>
      </c>
      <c r="H13" t="inlineStr">
        <is>
          <t>policies table + /api/policies + /settings/policies (Package H)</t>
        </is>
      </c>
    </row>
    <row r="14">
      <c r="A14" s="24" t="inlineStr">
        <is>
          <t>REPORTING_FX_POLICY</t>
        </is>
      </c>
      <c r="B14" s="24" t="inlineStr">
        <is>
          <t>Reporting</t>
        </is>
      </c>
      <c r="C14" s="24" t="inlineStr">
        <is>
          <t>Finance Admin</t>
        </is>
      </c>
      <c r="D14" s="24" t="inlineStr">
        <is>
          <t>Y</t>
        </is>
      </c>
      <c r="E14" s="24" t="inlineStr">
        <is>
          <t>Y</t>
        </is>
      </c>
      <c r="F14" s="24" t="inlineStr">
        <is>
          <t>Y</t>
        </is>
      </c>
      <c r="G14" s="24" t="inlineStr">
        <is>
          <t>Reporting currency/as-of FX</t>
        </is>
      </c>
      <c r="H14" t="inlineStr">
        <is>
          <t>policies table + /api/policies + /settings/policies (Package H)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50" customWidth="1" style="16" min="2" max="2"/>
    <col width="48" customWidth="1" style="16" min="3" max="3"/>
    <col width="22" customWidth="1" style="16" min="4" max="4"/>
    <col width="20" customWidth="1" style="16" min="5" max="5"/>
  </cols>
  <sheetData>
    <row r="1">
      <c r="A1" s="27" t="inlineStr">
        <is>
          <t>FR ID</t>
        </is>
      </c>
      <c r="B1" s="27" t="inlineStr">
        <is>
          <t>Closure</t>
        </is>
      </c>
      <c r="C1" s="27" t="inlineStr">
        <is>
          <t>Final Artifact</t>
        </is>
      </c>
      <c r="D1" s="27" t="inlineStr">
        <is>
          <t>Spec Status</t>
        </is>
      </c>
      <c r="E1" s="27" t="inlineStr">
        <is>
          <t>DEV Status</t>
        </is>
      </c>
    </row>
    <row r="2">
      <c r="A2" s="22" t="inlineStr">
        <is>
          <t>FR-001</t>
        </is>
      </c>
      <c r="B2" s="22" t="inlineStr">
        <is>
          <t>Party Contact/Snapshot</t>
        </is>
      </c>
      <c r="C2" s="22" t="inlineStr">
        <is>
          <t>02A/02B v1.1 FINAL</t>
        </is>
      </c>
      <c r="D2" s="22" t="inlineStr">
        <is>
          <t>CLOSED IN SPEC</t>
        </is>
      </c>
      <c r="E2" s="22" t="inlineStr">
        <is>
          <t>TO IMPLEMENT</t>
        </is>
      </c>
    </row>
    <row r="3">
      <c r="A3" s="22" t="inlineStr">
        <is>
          <t>FR-002</t>
        </is>
      </c>
      <c r="B3" s="22" t="inlineStr">
        <is>
          <t>Canonical Location/Route</t>
        </is>
      </c>
      <c r="C3" s="22" t="inlineStr">
        <is>
          <t>02A/02B v1.1 FINAL</t>
        </is>
      </c>
      <c r="D3" s="22" t="inlineStr">
        <is>
          <t>CLOSED IN SPEC</t>
        </is>
      </c>
      <c r="E3" s="22" t="inlineStr">
        <is>
          <t>TO IMPLEMENT</t>
        </is>
      </c>
    </row>
    <row r="4">
      <c r="A4" s="22" t="inlineStr">
        <is>
          <t>FR-003</t>
        </is>
      </c>
      <c r="B4" s="22" t="inlineStr">
        <is>
          <t>Commodity/Cargo taxonomy</t>
        </is>
      </c>
      <c r="C4" s="22" t="inlineStr">
        <is>
          <t>02A/02B v1.1 FINAL</t>
        </is>
      </c>
      <c r="D4" s="22" t="inlineStr">
        <is>
          <t>CLOSED IN SPEC</t>
        </is>
      </c>
      <c r="E4" s="22" t="inlineStr">
        <is>
          <t>TO IMPLEMENT</t>
        </is>
      </c>
    </row>
    <row r="5">
      <c r="A5" s="22" t="inlineStr">
        <is>
          <t>FR-004</t>
        </is>
      </c>
      <c r="B5" s="22" t="inlineStr">
        <is>
          <t>Operational field depth</t>
        </is>
      </c>
      <c r="C5" s="22" t="inlineStr">
        <is>
          <t>02A/02B v1.1 FINAL</t>
        </is>
      </c>
      <c r="D5" s="22" t="inlineStr">
        <is>
          <t>CLOSED IN SPEC</t>
        </is>
      </c>
      <c r="E5" s="22" t="inlineStr">
        <is>
          <t>TO IMPLEMENT</t>
        </is>
      </c>
    </row>
    <row r="6">
      <c r="A6" s="22" t="inlineStr">
        <is>
          <t>FR-005</t>
        </is>
      </c>
      <c r="B6" s="22" t="inlineStr">
        <is>
          <t>Measurement canonical model</t>
        </is>
      </c>
      <c r="C6" s="22" t="inlineStr">
        <is>
          <t>02A/02B v1.1 FINAL</t>
        </is>
      </c>
      <c r="D6" s="22" t="inlineStr">
        <is>
          <t>CLOSED IN SPEC</t>
        </is>
      </c>
      <c r="E6" s="22" t="inlineStr">
        <is>
          <t>TO IMPLEMENT</t>
        </is>
      </c>
    </row>
    <row r="7">
      <c r="A7" s="22" t="inlineStr">
        <is>
          <t>FR-006</t>
        </is>
      </c>
      <c r="B7" s="22" t="inlineStr">
        <is>
          <t>Package/Container child model</t>
        </is>
      </c>
      <c r="C7" s="22" t="inlineStr">
        <is>
          <t>02A/02B v1.1 FINAL</t>
        </is>
      </c>
      <c r="D7" s="22" t="inlineStr">
        <is>
          <t>CLOSED IN SPEC</t>
        </is>
      </c>
      <c r="E7" s="22" t="inlineStr">
        <is>
          <t>TO IMPLEMENT</t>
        </is>
      </c>
    </row>
    <row r="8">
      <c r="A8" s="22" t="inlineStr">
        <is>
          <t>FR-007</t>
        </is>
      </c>
      <c r="B8" s="22" t="inlineStr">
        <is>
          <t>Rating Context assembler/snapshot</t>
        </is>
      </c>
      <c r="C8" s="22" t="inlineStr">
        <is>
          <t>02A/02B v1.1 FINAL</t>
        </is>
      </c>
      <c r="D8" s="22" t="inlineStr">
        <is>
          <t>CLOSED IN SPEC</t>
        </is>
      </c>
      <c r="E8" s="22" t="inlineStr">
        <is>
          <t>TO IMPLEMENT</t>
        </is>
      </c>
    </row>
    <row r="9">
      <c r="A9" s="22" t="inlineStr">
        <is>
          <t>FR-008</t>
        </is>
      </c>
      <c r="B9" s="22" t="inlineStr">
        <is>
          <t>Cross-navigation contract</t>
        </is>
      </c>
      <c r="C9" s="22" t="inlineStr">
        <is>
          <t>02A/02B v1.1 FINAL</t>
        </is>
      </c>
      <c r="D9" s="22" t="inlineStr">
        <is>
          <t>CLOSED IN SPEC</t>
        </is>
      </c>
      <c r="E9" s="22" t="inlineStr">
        <is>
          <t>TO IMPLEMENT</t>
        </is>
      </c>
    </row>
    <row r="10">
      <c r="A10" s="22" t="inlineStr">
        <is>
          <t>FR-009</t>
        </is>
      </c>
      <c r="B10" s="22" t="inlineStr">
        <is>
          <t>Operational source ownership</t>
        </is>
      </c>
      <c r="C10" s="22" t="inlineStr">
        <is>
          <t>02A/02B v1.1 FINAL + 09A</t>
        </is>
      </c>
      <c r="D10" s="22" t="inlineStr">
        <is>
          <t>CLOSED IN SPEC</t>
        </is>
      </c>
      <c r="E10" s="22" t="inlineStr">
        <is>
          <t>TO IMPLEMENT</t>
        </is>
      </c>
    </row>
    <row r="11">
      <c r="A11" s="22" t="inlineStr">
        <is>
          <t>FR-010</t>
        </is>
      </c>
      <c r="B11" s="22" t="inlineStr">
        <is>
          <t>Shared Revenue Mapping persistence/API</t>
        </is>
      </c>
      <c r="C11" s="22" t="inlineStr">
        <is>
          <t>05A/05B v1.1 FINAL</t>
        </is>
      </c>
      <c r="D11" s="22" t="inlineStr">
        <is>
          <t>CLOSED IN SPEC</t>
        </is>
      </c>
      <c r="E11" s="22" t="inlineStr">
        <is>
          <t>TO IMPLEMENT</t>
        </is>
      </c>
    </row>
    <row r="12">
      <c r="A12" s="22" t="inlineStr">
        <is>
          <t>FR-011</t>
        </is>
      </c>
      <c r="B12" s="22" t="inlineStr">
        <is>
          <t>Canonical Policy Registry</t>
        </is>
      </c>
      <c r="C12" s="22" t="inlineStr">
        <is>
          <t>09A v1.1 FINAL + Policy Registry</t>
        </is>
      </c>
      <c r="D12" s="22" t="inlineStr">
        <is>
          <t>CLOSED IN SPEC</t>
        </is>
      </c>
      <c r="E12" s="22" t="inlineStr">
        <is>
          <t>TO IMPLEMENT</t>
        </is>
      </c>
    </row>
    <row r="13">
      <c r="A13" s="22" t="inlineStr">
        <is>
          <t>FR-012</t>
        </is>
      </c>
      <c r="B13" s="22" t="inlineStr">
        <is>
          <t>Requirement-level traceability gate</t>
        </is>
      </c>
      <c r="C13" s="22" t="inlineStr">
        <is>
          <t>09A v1.1 FINAL + Detailed Traceability</t>
        </is>
      </c>
      <c r="D13" s="22" t="inlineStr">
        <is>
          <t>CLOSED IN SPEC</t>
        </is>
      </c>
      <c r="E13" s="22" t="inlineStr">
        <is>
          <t>TO IMPLEMENT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4" customWidth="1" style="16" min="1" max="1"/>
    <col width="14" customWidth="1" style="16" min="2" max="2"/>
    <col width="58" customWidth="1" style="16" min="3" max="3"/>
    <col width="10" customWidth="1" style="16" min="4" max="4"/>
    <col width="20" customWidth="1" style="16" min="5" max="5"/>
    <col width="34" customWidth="1" style="16" min="6" max="6"/>
    <col width="30" customWidth="1" style="16" min="7" max="7"/>
    <col width="34" customWidth="1" style="16" min="8" max="8"/>
    <col width="20" customWidth="1" style="16" min="9" max="9"/>
    <col width="18" customWidth="1" style="16" min="10" max="10"/>
    <col width="20" customWidth="1" style="16" min="11" max="11"/>
    <col width="38" customWidth="1" style="16" min="12" max="12"/>
  </cols>
  <sheetData>
    <row r="1">
      <c r="A1" s="27" t="inlineStr">
        <is>
          <t>Req ID</t>
        </is>
      </c>
      <c r="B1" s="27" t="inlineStr">
        <is>
          <t>Domain</t>
        </is>
      </c>
      <c r="C1" s="27" t="inlineStr">
        <is>
          <t>Requirement</t>
        </is>
      </c>
      <c r="D1" s="27" t="inlineStr">
        <is>
          <t>Priority</t>
        </is>
      </c>
      <c r="E1" s="27" t="inlineStr">
        <is>
          <t>UI</t>
        </is>
      </c>
      <c r="F1" s="27" t="inlineStr">
        <is>
          <t>API/Command</t>
        </is>
      </c>
      <c r="G1" s="27" t="inlineStr">
        <is>
          <t>DB/Object</t>
        </is>
      </c>
      <c r="H1" s="27" t="inlineStr">
        <is>
          <t>Permission/Audit</t>
        </is>
      </c>
      <c r="I1" s="27" t="inlineStr">
        <is>
          <t>Acceptance</t>
        </is>
      </c>
      <c r="J1" s="27" t="inlineStr">
        <is>
          <t>Spec Status</t>
        </is>
      </c>
      <c r="K1" s="27" t="inlineStr">
        <is>
          <t>DEV Status</t>
        </is>
      </c>
      <c r="L1" s="27" t="inlineStr">
        <is>
          <t>Evidence</t>
        </is>
      </c>
    </row>
    <row r="2">
      <c r="A2" s="22" t="inlineStr">
        <is>
          <t>D01-01</t>
        </is>
      </c>
      <c r="B2" s="22" t="inlineStr">
        <is>
          <t>D01</t>
        </is>
      </c>
      <c r="C2" s="22" t="inlineStr">
        <is>
          <t>Tenant bootstrap/admin without external IAM</t>
        </is>
      </c>
      <c r="D2" s="22" t="inlineStr">
        <is>
          <t>P0</t>
        </is>
      </c>
      <c r="E2" s="22" t="inlineStr">
        <is>
          <t>UI-14</t>
        </is>
      </c>
      <c r="F2" s="22" t="inlineStr">
        <is>
          <t>tenant bootstrap/admin commands</t>
        </is>
      </c>
      <c r="G2" s="22" t="inlineStr">
        <is>
          <t>tenant/users/roles/config</t>
        </is>
      </c>
      <c r="H2" s="22" t="inlineStr">
        <is>
          <t>TENANT_ADMIN + audit</t>
        </is>
      </c>
      <c r="I2" s="22" t="inlineStr">
        <is>
          <t>FS-20</t>
        </is>
      </c>
      <c r="J2" s="22" t="inlineStr">
        <is>
          <t>COMPLETE</t>
        </is>
      </c>
      <c r="K2" s="22" t="inlineStr">
        <is>
          <t>DONE</t>
        </is>
      </c>
      <c r="L2" s="22" t="inlineStr">
        <is>
          <t>Implemented in LCMS modular monolith; see Final Traceability + ADR-0023…0030 + Api.Tests</t>
        </is>
      </c>
    </row>
    <row r="3">
      <c r="A3" s="22" t="inlineStr">
        <is>
          <t>D01-02</t>
        </is>
      </c>
      <c r="B3" s="22" t="inlineStr">
        <is>
          <t>D01</t>
        </is>
      </c>
      <c r="C3" s="22" t="inlineStr">
        <is>
          <t>Capability/configuration controls availability, never deletes history</t>
        </is>
      </c>
      <c r="D3" s="22" t="inlineStr">
        <is>
          <t>P0</t>
        </is>
      </c>
      <c r="E3" s="22" t="inlineStr">
        <is>
          <t>UI-14</t>
        </is>
      </c>
      <c r="F3" s="22" t="inlineStr">
        <is>
          <t>capability config</t>
        </is>
      </c>
      <c r="G3" s="22" t="inlineStr">
        <is>
          <t>tenant_capabilities</t>
        </is>
      </c>
      <c r="H3" s="22" t="inlineStr">
        <is>
          <t>SYSTEM_CONFIG + audit</t>
        </is>
      </c>
      <c r="I3" s="22" t="inlineStr">
        <is>
          <t>FS-20</t>
        </is>
      </c>
      <c r="J3" s="22" t="inlineStr">
        <is>
          <t>COMPLETE</t>
        </is>
      </c>
      <c r="K3" s="22" t="inlineStr">
        <is>
          <t>DONE</t>
        </is>
      </c>
      <c r="L3" s="22" t="inlineStr">
        <is>
          <t>Implemented in LCMS modular monolith; see Final Traceability + ADR-0023…0030 + Api.Tests</t>
        </is>
      </c>
    </row>
    <row r="4">
      <c r="A4" s="22" t="inlineStr">
        <is>
          <t>D02-01</t>
        </is>
      </c>
      <c r="B4" s="22" t="inlineStr">
        <is>
          <t>D02</t>
        </is>
      </c>
      <c r="C4" s="22" t="inlineStr">
        <is>
          <t>Party/Customer/Vendor master + role/contact/address</t>
        </is>
      </c>
      <c r="D4" s="22" t="inlineStr">
        <is>
          <t>P0</t>
        </is>
      </c>
      <c r="E4" s="22" t="inlineStr">
        <is>
          <t>UI-13</t>
        </is>
      </c>
      <c r="F4" s="22" t="inlineStr">
        <is>
          <t>master CRUD/import</t>
        </is>
      </c>
      <c r="G4" s="22" t="inlineStr">
        <is>
          <t>parties/contacts/addresses</t>
        </is>
      </c>
      <c r="H4" s="22" t="inlineStr">
        <is>
          <t>MASTER_DATA + audit</t>
        </is>
      </c>
      <c r="I4" s="22" t="inlineStr">
        <is>
          <t>OR-FINAL-01</t>
        </is>
      </c>
      <c r="J4" s="22" t="inlineStr">
        <is>
          <t>COMPLETE</t>
        </is>
      </c>
      <c r="K4" s="22" t="inlineStr">
        <is>
          <t>DONE</t>
        </is>
      </c>
      <c r="L4" s="22" t="inlineStr">
        <is>
          <t>Implemented in LCMS modular monolith; see Final Traceability + ADR-0023…0030 + Api.Tests</t>
        </is>
      </c>
    </row>
    <row r="5">
      <c r="A5" s="22" t="inlineStr">
        <is>
          <t>D02-02</t>
        </is>
      </c>
      <c r="B5" s="22" t="inlineStr">
        <is>
          <t>D02</t>
        </is>
      </c>
      <c r="C5" s="22" t="inlineStr">
        <is>
          <t>Location/Route canonical master</t>
        </is>
      </c>
      <c r="D5" s="22" t="inlineStr">
        <is>
          <t>P0</t>
        </is>
      </c>
      <c r="E5" s="22" t="inlineStr">
        <is>
          <t>UI-13</t>
        </is>
      </c>
      <c r="F5" s="22" t="inlineStr">
        <is>
          <t>master CRUD/import</t>
        </is>
      </c>
      <c r="G5" s="22" t="inlineStr">
        <is>
          <t>locations/routes</t>
        </is>
      </c>
      <c r="H5" s="22" t="inlineStr">
        <is>
          <t>MASTER_DATA + audit</t>
        </is>
      </c>
      <c r="I5" s="22" t="inlineStr">
        <is>
          <t>OR-FINAL-02</t>
        </is>
      </c>
      <c r="J5" s="22" t="inlineStr">
        <is>
          <t>COMPLETE</t>
        </is>
      </c>
      <c r="K5" s="22" t="inlineStr">
        <is>
          <t>DONE</t>
        </is>
      </c>
      <c r="L5" s="22" t="inlineStr">
        <is>
          <t>Implemented in LCMS modular monolith; see Final Traceability + ADR-0023…0030 + Api.Tests</t>
        </is>
      </c>
    </row>
    <row r="6">
      <c r="A6" s="22" t="inlineStr">
        <is>
          <t>D02-03</t>
        </is>
      </c>
      <c r="B6" s="22" t="inlineStr">
        <is>
          <t>D02</t>
        </is>
      </c>
      <c r="C6" s="22" t="inlineStr">
        <is>
          <t>Mode/Service/Commodity/Charge/UOM/Payment Terms canonical master</t>
        </is>
      </c>
      <c r="D6" s="22" t="inlineStr">
        <is>
          <t>P0</t>
        </is>
      </c>
      <c r="E6" s="22" t="inlineStr">
        <is>
          <t>UI-13</t>
        </is>
      </c>
      <c r="F6" s="22" t="inlineStr">
        <is>
          <t>master CRUD/import</t>
        </is>
      </c>
      <c r="G6" s="22" t="inlineStr">
        <is>
          <t>master tables</t>
        </is>
      </c>
      <c r="H6" s="22" t="inlineStr">
        <is>
          <t>MASTER_DATA + audit</t>
        </is>
      </c>
      <c r="I6" s="22" t="inlineStr">
        <is>
          <t>FS-26</t>
        </is>
      </c>
      <c r="J6" s="22" t="inlineStr">
        <is>
          <t>COMPLETE</t>
        </is>
      </c>
      <c r="K6" s="22" t="inlineStr">
        <is>
          <t>DONE</t>
        </is>
      </c>
      <c r="L6" s="22" t="inlineStr">
        <is>
          <t>Implemented in LCMS modular monolith; see Final Traceability + ADR-0023…0030 + Api.Tests</t>
        </is>
      </c>
    </row>
    <row r="7">
      <c r="A7" s="22" t="inlineStr">
        <is>
          <t>D03-01</t>
        </is>
      </c>
      <c r="B7" s="22" t="inlineStr">
        <is>
          <t>D03</t>
        </is>
      </c>
      <c r="C7" s="22" t="inlineStr">
        <is>
          <t>Order/Bill/Shipment/Leg/Movement Manual/Import/API</t>
        </is>
      </c>
      <c r="D7" s="22" t="inlineStr">
        <is>
          <t>P0</t>
        </is>
      </c>
      <c r="E7" s="22" t="inlineStr">
        <is>
          <t>UI-02</t>
        </is>
      </c>
      <c r="F7" s="22" t="inlineStr">
        <is>
          <t>upsert/import/manual</t>
        </is>
      </c>
      <c r="G7" s="22" t="inlineStr">
        <is>
          <t>operational refs</t>
        </is>
      </c>
      <c r="H7" s="22" t="inlineStr">
        <is>
          <t>OPS_REF permissions + audit</t>
        </is>
      </c>
      <c r="I7" s="22" t="inlineStr">
        <is>
          <t>FS-20/28</t>
        </is>
      </c>
      <c r="J7" s="22" t="inlineStr">
        <is>
          <t>COMPLETE</t>
        </is>
      </c>
      <c r="K7" s="22" t="inlineStr">
        <is>
          <t>DONE</t>
        </is>
      </c>
      <c r="L7" s="22" t="inlineStr">
        <is>
          <t>Implemented in LCMS modular monolith; see Final Traceability + ADR-0023…0030 + Api.Tests</t>
        </is>
      </c>
    </row>
    <row r="8">
      <c r="A8" s="22" t="inlineStr">
        <is>
          <t>D03-02</t>
        </is>
      </c>
      <c r="B8" s="22" t="inlineStr">
        <is>
          <t>D03</t>
        </is>
      </c>
      <c r="C8" s="22" t="inlineStr">
        <is>
          <t>Locked relationship graph/cardinalities</t>
        </is>
      </c>
      <c r="D8" s="22" t="inlineStr">
        <is>
          <t>P0</t>
        </is>
      </c>
      <c r="E8" s="22" t="inlineStr">
        <is>
          <t>UI-02</t>
        </is>
      </c>
      <c r="F8" s="22" t="inlineStr">
        <is>
          <t>link/unlink/query related</t>
        </is>
      </c>
      <c r="G8" s="22" t="inlineStr">
        <is>
          <t>link tables + leg.shipment</t>
        </is>
      </c>
      <c r="H8" s="22" t="inlineStr">
        <is>
          <t>OPS_REF_LINK + audit</t>
        </is>
      </c>
      <c r="I8" s="22" t="inlineStr">
        <is>
          <t>FS-28</t>
        </is>
      </c>
      <c r="J8" s="22" t="inlineStr">
        <is>
          <t>COMPLETE</t>
        </is>
      </c>
      <c r="K8" s="22" t="inlineStr">
        <is>
          <t>DONE</t>
        </is>
      </c>
      <c r="L8" s="22" t="inlineStr">
        <is>
          <t>Implemented in LCMS modular monolith; see Final Traceability + ADR-0023…0030 + Api.Tests</t>
        </is>
      </c>
    </row>
    <row r="9">
      <c r="A9" s="22" t="inlineStr">
        <is>
          <t>D03-03</t>
        </is>
      </c>
      <c r="B9" s="22" t="inlineStr">
        <is>
          <t>D03</t>
        </is>
      </c>
      <c r="C9" s="22" t="inlineStr">
        <is>
          <t>Operational field depth supports rating/search/report</t>
        </is>
      </c>
      <c r="D9" s="22" t="inlineStr">
        <is>
          <t>P0</t>
        </is>
      </c>
      <c r="E9" s="22" t="inlineStr">
        <is>
          <t>UI-02</t>
        </is>
      </c>
      <c r="F9" s="22" t="inlineStr">
        <is>
          <t>canonical DTO</t>
        </is>
      </c>
      <c r="G9" s="22" t="inlineStr">
        <is>
          <t>operational refs</t>
        </is>
      </c>
      <c r="H9" s="22" t="inlineStr">
        <is>
          <t>OPS_REF + audit</t>
        </is>
      </c>
      <c r="I9" s="22" t="inlineStr">
        <is>
          <t>OR-FINAL-04</t>
        </is>
      </c>
      <c r="J9" s="22" t="inlineStr">
        <is>
          <t>COMPLETE</t>
        </is>
      </c>
      <c r="K9" s="22" t="inlineStr">
        <is>
          <t>DONE</t>
        </is>
      </c>
      <c r="L9" s="22" t="inlineStr">
        <is>
          <t>Implemented in LCMS modular monolith; see Final Traceability + ADR-0023…0030 + Api.Tests</t>
        </is>
      </c>
    </row>
    <row r="10">
      <c r="A10" s="22" t="inlineStr">
        <is>
          <t>D03-04</t>
        </is>
      </c>
      <c r="B10" s="22" t="inlineStr">
        <is>
          <t>D03</t>
        </is>
      </c>
      <c r="C10" s="22" t="inlineStr">
        <is>
          <t>Measurement value/UOM/type/source/derived trace</t>
        </is>
      </c>
      <c r="D10" s="22" t="inlineStr">
        <is>
          <t>P0</t>
        </is>
      </c>
      <c r="E10" s="22" t="inlineStr">
        <is>
          <t>UI-02</t>
        </is>
      </c>
      <c r="F10" s="22" t="inlineStr">
        <is>
          <t>measurement API</t>
        </is>
      </c>
      <c r="G10" s="22" t="inlineStr">
        <is>
          <t>measurements</t>
        </is>
      </c>
      <c r="H10" s="22" t="inlineStr">
        <is>
          <t>OPS_REF + audit</t>
        </is>
      </c>
      <c r="I10" s="22" t="inlineStr">
        <is>
          <t>OR-FINAL-05</t>
        </is>
      </c>
      <c r="J10" s="22" t="inlineStr">
        <is>
          <t>COMPLETE</t>
        </is>
      </c>
      <c r="K10" s="22" t="inlineStr">
        <is>
          <t>DONE</t>
        </is>
      </c>
      <c r="L10" s="22" t="inlineStr">
        <is>
          <t>Implemented in LCMS modular monolith; see Final Traceability + ADR-0023…0030 + Api.Tests</t>
        </is>
      </c>
    </row>
    <row r="11">
      <c r="A11" s="22" t="inlineStr">
        <is>
          <t>D03-05</t>
        </is>
      </c>
      <c r="B11" s="22" t="inlineStr">
        <is>
          <t>D03</t>
        </is>
      </c>
      <c r="C11" s="22" t="inlineStr">
        <is>
          <t>Package/Container child context</t>
        </is>
      </c>
      <c r="D11" s="22" t="inlineStr">
        <is>
          <t>P0</t>
        </is>
      </c>
      <c r="E11" s="22" t="inlineStr">
        <is>
          <t>UI-02</t>
        </is>
      </c>
      <c r="F11" s="22" t="inlineStr">
        <is>
          <t>child query/mutation</t>
        </is>
      </c>
      <c r="G11" s="22" t="inlineStr">
        <is>
          <t>packages/containers</t>
        </is>
      </c>
      <c r="H11" s="22" t="inlineStr">
        <is>
          <t>OPS_REF + audit</t>
        </is>
      </c>
      <c r="I11" s="22" t="inlineStr">
        <is>
          <t>OR-FINAL-06</t>
        </is>
      </c>
      <c r="J11" s="22" t="inlineStr">
        <is>
          <t>COMPLETE</t>
        </is>
      </c>
      <c r="K11" s="22" t="inlineStr">
        <is>
          <t>DONE</t>
        </is>
      </c>
      <c r="L11" s="22" t="inlineStr">
        <is>
          <t>Implemented in LCMS modular monolith; see Final Traceability + ADR-0023…0030 + Api.Tests</t>
        </is>
      </c>
    </row>
    <row r="12">
      <c r="A12" s="22" t="inlineStr">
        <is>
          <t>D03-06</t>
        </is>
      </c>
      <c r="B12" s="22" t="inlineStr">
        <is>
          <t>D03</t>
        </is>
      </c>
      <c r="C12" s="22" t="inlineStr">
        <is>
          <t>Deterministic Rating Context assembler + immutable snapshot</t>
        </is>
      </c>
      <c r="D12" s="22" t="inlineStr">
        <is>
          <t>P0</t>
        </is>
      </c>
      <c r="E12" s="22" t="inlineStr">
        <is>
          <t>UI-03</t>
        </is>
      </c>
      <c r="F12" s="22" t="inlineStr">
        <is>
          <t>assemble/rate command</t>
        </is>
      </c>
      <c r="G12" s="22" t="inlineStr">
        <is>
          <t>rating_context_snapshot</t>
        </is>
      </c>
      <c r="H12" s="22" t="inlineStr">
        <is>
          <t>RATE + audit</t>
        </is>
      </c>
      <c r="I12" s="22" t="inlineStr">
        <is>
          <t>OR-FINAL-07</t>
        </is>
      </c>
      <c r="J12" s="22" t="inlineStr">
        <is>
          <t>COMPLETE</t>
        </is>
      </c>
      <c r="K12" s="22" t="inlineStr">
        <is>
          <t>DONE</t>
        </is>
      </c>
      <c r="L12" s="22" t="inlineStr">
        <is>
          <t>Implemented in LCMS modular monolith; see Final Traceability + ADR-0023…0030 + Api.Tests</t>
        </is>
      </c>
    </row>
    <row r="13">
      <c r="A13" s="22" t="inlineStr">
        <is>
          <t>D03-07</t>
        </is>
      </c>
      <c r="B13" s="22" t="inlineStr">
        <is>
          <t>D03</t>
        </is>
      </c>
      <c r="C13" s="22" t="inlineStr">
        <is>
          <t>LIST/SEARCH/DETAIL/RELATED/CROSS-NAV five operational objects</t>
        </is>
      </c>
      <c r="D13" s="22" t="inlineStr">
        <is>
          <t>P0</t>
        </is>
      </c>
      <c r="E13" s="22" t="inlineStr">
        <is>
          <t>UI-02</t>
        </is>
      </c>
      <c r="F13" s="22" t="inlineStr">
        <is>
          <t>query/related</t>
        </is>
      </c>
      <c r="G13" s="22" t="inlineStr">
        <is>
          <t>refs/link tables</t>
        </is>
      </c>
      <c r="H13" s="22" t="inlineStr">
        <is>
          <t>VIEW + data scope</t>
        </is>
      </c>
      <c r="I13" s="22" t="inlineStr">
        <is>
          <t>OR-FINAL-08</t>
        </is>
      </c>
      <c r="J13" s="22" t="inlineStr">
        <is>
          <t>COMPLETE</t>
        </is>
      </c>
      <c r="K13" s="22" t="inlineStr">
        <is>
          <t>DONE</t>
        </is>
      </c>
      <c r="L13" s="22" t="inlineStr">
        <is>
          <t>Implemented in LCMS modular monolith; see Final Traceability + ADR-0023…0030 + Api.Tests</t>
        </is>
      </c>
    </row>
    <row r="14">
      <c r="A14" s="22" t="inlineStr">
        <is>
          <t>D03-08</t>
        </is>
      </c>
      <c r="B14" s="22" t="inlineStr">
        <is>
          <t>D03</t>
        </is>
      </c>
      <c r="C14" s="22" t="inlineStr">
        <is>
          <t>Source ownership/provenance/conflict enforcement</t>
        </is>
      </c>
      <c r="D14" s="22" t="inlineStr">
        <is>
          <t>P0</t>
        </is>
      </c>
      <c r="E14" s="22" t="inlineStr">
        <is>
          <t>UI-02/14</t>
        </is>
      </c>
      <c r="F14" s="22" t="inlineStr">
        <is>
          <t>upsert conflict rules</t>
        </is>
      </c>
      <c r="G14" s="22" t="inlineStr">
        <is>
          <t>source metadata</t>
        </is>
      </c>
      <c r="H14" s="22" t="inlineStr">
        <is>
          <t>permission + audit</t>
        </is>
      </c>
      <c r="I14" s="22" t="inlineStr">
        <is>
          <t>OR-FINAL-09</t>
        </is>
      </c>
      <c r="J14" s="22" t="inlineStr">
        <is>
          <t>COMPLETE</t>
        </is>
      </c>
      <c r="K14" s="22" t="inlineStr">
        <is>
          <t>DONE</t>
        </is>
      </c>
      <c r="L14" s="22" t="inlineStr">
        <is>
          <t>Implemented in LCMS modular monolith; see Final Traceability + ADR-0023…0030 + Api.Tests</t>
        </is>
      </c>
    </row>
    <row r="15">
      <c r="A15" s="22" t="inlineStr">
        <is>
          <t>D04-01</t>
        </is>
      </c>
      <c r="B15" s="22" t="inlineStr">
        <is>
          <t>D04</t>
        </is>
      </c>
      <c r="C15" s="22" t="inlineStr">
        <is>
          <t>BUY/SELL Rate Card/Version/Rule/Component</t>
        </is>
      </c>
      <c r="D15" s="22" t="inlineStr">
        <is>
          <t>P0</t>
        </is>
      </c>
      <c r="E15" s="22" t="inlineStr">
        <is>
          <t>UI-03</t>
        </is>
      </c>
      <c r="F15" s="22" t="inlineStr">
        <is>
          <t>rate master commands</t>
        </is>
      </c>
      <c r="G15" s="22" t="inlineStr">
        <is>
          <t>rate_*</t>
        </is>
      </c>
      <c r="H15" s="22" t="inlineStr">
        <is>
          <t>RATE_MANAGE + audit</t>
        </is>
      </c>
      <c r="I15" s="22" t="inlineStr">
        <is>
          <t>RT-01..</t>
        </is>
      </c>
      <c r="J15" s="22" t="inlineStr">
        <is>
          <t>COMPLETE</t>
        </is>
      </c>
      <c r="K15" s="22" t="inlineStr">
        <is>
          <t>DONE</t>
        </is>
      </c>
      <c r="L15" s="22" t="inlineStr">
        <is>
          <t>Implemented in LCMS modular monolith; see Final Traceability + ADR-0023…0030 + Api.Tests</t>
        </is>
      </c>
    </row>
    <row r="16">
      <c r="A16" s="22" t="inlineStr">
        <is>
          <t>D04-02</t>
        </is>
      </c>
      <c r="B16" s="22" t="inlineStr">
        <is>
          <t>D04</t>
        </is>
      </c>
      <c r="C16" s="22" t="inlineStr">
        <is>
          <t>Published Rate Version immutable</t>
        </is>
      </c>
      <c r="D16" s="22" t="inlineStr">
        <is>
          <t>P0</t>
        </is>
      </c>
      <c r="E16" s="22" t="inlineStr">
        <is>
          <t>UI-03</t>
        </is>
      </c>
      <c r="F16" s="22" t="inlineStr">
        <is>
          <t>publish/supersede</t>
        </is>
      </c>
      <c r="G16" s="22" t="inlineStr">
        <is>
          <t>rate_versions</t>
        </is>
      </c>
      <c r="H16" s="22" t="inlineStr">
        <is>
          <t>RATE_PUBLISH + audit</t>
        </is>
      </c>
      <c r="I16" s="22" t="inlineStr">
        <is>
          <t>FS-26</t>
        </is>
      </c>
      <c r="J16" s="22" t="inlineStr">
        <is>
          <t>COMPLETE</t>
        </is>
      </c>
      <c r="K16" s="22" t="inlineStr">
        <is>
          <t>DONE</t>
        </is>
      </c>
      <c r="L16" s="22" t="inlineStr">
        <is>
          <t>Implemented in LCMS modular monolith; see Final Traceability + ADR-0023…0030 + Api.Tests</t>
        </is>
      </c>
    </row>
    <row r="17">
      <c r="A17" s="22" t="inlineStr">
        <is>
          <t>D04-03</t>
        </is>
      </c>
      <c r="B17" s="22" t="inlineStr">
        <is>
          <t>D04</t>
        </is>
      </c>
      <c r="C17" s="22" t="inlineStr">
        <is>
          <t>WEIGHT_BREAK_PIVOT/STEP/UNIT/FIXED/CONTAINER/COMPOSITE</t>
        </is>
      </c>
      <c r="D17" s="22" t="inlineStr">
        <is>
          <t>P0</t>
        </is>
      </c>
      <c r="E17" s="22" t="inlineStr">
        <is>
          <t>UI-03</t>
        </is>
      </c>
      <c r="F17" s="22" t="inlineStr">
        <is>
          <t>rate command</t>
        </is>
      </c>
      <c r="G17" s="22" t="inlineStr">
        <is>
          <t>ratings/details</t>
        </is>
      </c>
      <c r="H17" s="22" t="inlineStr">
        <is>
          <t>RATE + audit</t>
        </is>
      </c>
      <c r="I17" s="22" t="inlineStr">
        <is>
          <t>RT-01..18</t>
        </is>
      </c>
      <c r="J17" s="22" t="inlineStr">
        <is>
          <t>COMPLETE</t>
        </is>
      </c>
      <c r="K17" s="22" t="inlineStr">
        <is>
          <t>DONE</t>
        </is>
      </c>
      <c r="L17" s="22" t="inlineStr">
        <is>
          <t>Implemented in LCMS modular monolith; see Final Traceability + ADR-0023…0030 + Api.Tests</t>
        </is>
      </c>
    </row>
    <row r="18">
      <c r="A18" s="22" t="inlineStr">
        <is>
          <t>D04-04</t>
        </is>
      </c>
      <c r="B18" s="22" t="inlineStr">
        <is>
          <t>D04</t>
        </is>
      </c>
      <c r="C18" s="22" t="inlineStr">
        <is>
          <t>Chargeable weight and W/M calculations configurable/traceable</t>
        </is>
      </c>
      <c r="D18" s="22" t="inlineStr">
        <is>
          <t>P0</t>
        </is>
      </c>
      <c r="E18" s="22" t="inlineStr">
        <is>
          <t>UI-03</t>
        </is>
      </c>
      <c r="F18" s="22" t="inlineStr">
        <is>
          <t>rating context</t>
        </is>
      </c>
      <c r="G18" s="22" t="inlineStr">
        <is>
          <t>ratings/details</t>
        </is>
      </c>
      <c r="H18" s="22" t="inlineStr">
        <is>
          <t>RATE + audit</t>
        </is>
      </c>
      <c r="I18" s="22" t="inlineStr">
        <is>
          <t>RT matrix</t>
        </is>
      </c>
      <c r="J18" s="22" t="inlineStr">
        <is>
          <t>COMPLETE</t>
        </is>
      </c>
      <c r="K18" s="22" t="inlineStr">
        <is>
          <t>DONE</t>
        </is>
      </c>
      <c r="L18" s="22" t="inlineStr">
        <is>
          <t>Implemented in LCMS modular monolith; see Final Traceability + ADR-0023…0030 + Api.Tests</t>
        </is>
      </c>
    </row>
    <row r="19">
      <c r="A19" s="22" t="inlineStr">
        <is>
          <t>D05-01</t>
        </is>
      </c>
      <c r="B19" s="22" t="inlineStr">
        <is>
          <t>D05</t>
        </is>
      </c>
      <c r="C19" s="22" t="inlineStr">
        <is>
          <t>Single Economic Cost + maturity isolation</t>
        </is>
      </c>
      <c r="D19" s="22" t="inlineStr">
        <is>
          <t>P0</t>
        </is>
      </c>
      <c r="E19" s="22" t="inlineStr">
        <is>
          <t>UI-04</t>
        </is>
      </c>
      <c r="F19" s="22" t="inlineStr">
        <is>
          <t>cost commands</t>
        </is>
      </c>
      <c r="G19" s="22" t="inlineStr">
        <is>
          <t>costs</t>
        </is>
      </c>
      <c r="H19" s="22" t="inlineStr">
        <is>
          <t>COST permissions + audit</t>
        </is>
      </c>
      <c r="I19" s="22" t="inlineStr">
        <is>
          <t>CT-01..</t>
        </is>
      </c>
      <c r="J19" s="22" t="inlineStr">
        <is>
          <t>COMPLETE</t>
        </is>
      </c>
      <c r="K19" s="22" t="inlineStr">
        <is>
          <t>DONE</t>
        </is>
      </c>
      <c r="L19" s="22" t="inlineStr">
        <is>
          <t>Implemented in LCMS modular monolith; see Final Traceability + ADR-0023…0030 + Api.Tests</t>
        </is>
      </c>
    </row>
    <row r="20">
      <c r="A20" s="22" t="inlineStr">
        <is>
          <t>D05-02</t>
        </is>
      </c>
      <c r="B20" s="22" t="inlineStr">
        <is>
          <t>D05</t>
        </is>
      </c>
      <c r="C20" s="22" t="inlineStr">
        <is>
          <t>Manual/Import/API Actual Cost no duplicate</t>
        </is>
      </c>
      <c r="D20" s="22" t="inlineStr">
        <is>
          <t>P0</t>
        </is>
      </c>
      <c r="E20" s="22" t="inlineStr">
        <is>
          <t>UI-04</t>
        </is>
      </c>
      <c r="F20" s="22" t="inlineStr">
        <is>
          <t>create/import/upsert</t>
        </is>
      </c>
      <c r="G20" s="22" t="inlineStr">
        <is>
          <t>costs</t>
        </is>
      </c>
      <c r="H20" s="22" t="inlineStr">
        <is>
          <t>COST_CREATE + audit</t>
        </is>
      </c>
      <c r="I20" s="22" t="inlineStr">
        <is>
          <t>FS-26</t>
        </is>
      </c>
      <c r="J20" s="22" t="inlineStr">
        <is>
          <t>COMPLETE</t>
        </is>
      </c>
      <c r="K20" s="22" t="inlineStr">
        <is>
          <t>DONE</t>
        </is>
      </c>
      <c r="L20" s="22" t="inlineStr">
        <is>
          <t>Implemented in LCMS modular monolith; see Final Traceability + ADR-0023…0030 + Api.Tests</t>
        </is>
      </c>
    </row>
    <row r="21">
      <c r="A21" s="22" t="inlineStr">
        <is>
          <t>D05-03</t>
        </is>
      </c>
      <c r="B21" s="22" t="inlineStr">
        <is>
          <t>D05</t>
        </is>
      </c>
      <c r="C21" s="22" t="inlineStr">
        <is>
          <t>Shared cost allocation bases + conservation</t>
        </is>
      </c>
      <c r="D21" s="22" t="inlineStr">
        <is>
          <t>P0</t>
        </is>
      </c>
      <c r="E21" s="22" t="inlineStr">
        <is>
          <t>UI-04</t>
        </is>
      </c>
      <c r="F21" s="22" t="inlineStr">
        <is>
          <t>calculate/finalize allocation</t>
        </is>
      </c>
      <c r="G21" s="22" t="inlineStr">
        <is>
          <t>cost_allocations/details</t>
        </is>
      </c>
      <c r="H21" s="22" t="inlineStr">
        <is>
          <t>ALLOCATE + audit</t>
        </is>
      </c>
      <c r="I21" s="22" t="inlineStr">
        <is>
          <t>FS-16</t>
        </is>
      </c>
      <c r="J21" s="22" t="inlineStr">
        <is>
          <t>COMPLETE</t>
        </is>
      </c>
      <c r="K21" s="22" t="inlineStr">
        <is>
          <t>DONE</t>
        </is>
      </c>
      <c r="L21" s="22" t="inlineStr">
        <is>
          <t>Implemented in LCMS modular monolith; see Final Traceability + ADR-0023…0030 + Api.Tests</t>
        </is>
      </c>
    </row>
    <row r="22">
      <c r="A22" s="22" t="inlineStr">
        <is>
          <t>D05-04</t>
        </is>
      </c>
      <c r="B22" s="22" t="inlineStr">
        <is>
          <t>D05</t>
        </is>
      </c>
      <c r="C22" s="22" t="inlineStr">
        <is>
          <t>Finalized allocation immutable; reallocation supersedes</t>
        </is>
      </c>
      <c r="D22" s="22" t="inlineStr">
        <is>
          <t>P0</t>
        </is>
      </c>
      <c r="E22" s="22" t="inlineStr">
        <is>
          <t>UI-04</t>
        </is>
      </c>
      <c r="F22" s="22" t="inlineStr">
        <is>
          <t>reallocate/supersede</t>
        </is>
      </c>
      <c r="G22" s="22" t="inlineStr">
        <is>
          <t>cost_allocations</t>
        </is>
      </c>
      <c r="H22" s="22" t="inlineStr">
        <is>
          <t>ALLOCATE + audit</t>
        </is>
      </c>
      <c r="I22" s="22" t="inlineStr">
        <is>
          <t>CT matrix</t>
        </is>
      </c>
      <c r="J22" s="22" t="inlineStr">
        <is>
          <t>COMPLETE</t>
        </is>
      </c>
      <c r="K22" s="22" t="inlineStr">
        <is>
          <t>DONE</t>
        </is>
      </c>
      <c r="L22" s="22" t="inlineStr">
        <is>
          <t>Implemented in LCMS modular monolith; see Final Traceability + ADR-0023…0030 + Api.Tests</t>
        </is>
      </c>
    </row>
    <row r="23">
      <c r="A23" s="22" t="inlineStr">
        <is>
          <t>D06-01</t>
        </is>
      </c>
      <c r="B23" s="22" t="inlineStr">
        <is>
          <t>D06</t>
        </is>
      </c>
      <c r="C23" s="22" t="inlineStr">
        <is>
          <t>Single Economic Revenue + configurable Revenue SoT</t>
        </is>
      </c>
      <c r="D23" s="22" t="inlineStr">
        <is>
          <t>P0</t>
        </is>
      </c>
      <c r="E23" s="22" t="inlineStr">
        <is>
          <t>UI-05</t>
        </is>
      </c>
      <c r="F23" s="22" t="inlineStr">
        <is>
          <t>revenue commands</t>
        </is>
      </c>
      <c r="G23" s="22" t="inlineStr">
        <is>
          <t>revenues</t>
        </is>
      </c>
      <c r="H23" s="22" t="inlineStr">
        <is>
          <t>REVENUE + audit</t>
        </is>
      </c>
      <c r="I23" s="22" t="inlineStr">
        <is>
          <t>RV-01..</t>
        </is>
      </c>
      <c r="J23" s="22" t="inlineStr">
        <is>
          <t>COMPLETE</t>
        </is>
      </c>
      <c r="K23" s="22" t="inlineStr">
        <is>
          <t>DONE</t>
        </is>
      </c>
      <c r="L23" s="22" t="inlineStr">
        <is>
          <t>Implemented in LCMS modular monolith; see Final Traceability + ADR-0023…0030 + Api.Tests</t>
        </is>
      </c>
    </row>
    <row r="24">
      <c r="A24" s="22" t="inlineStr">
        <is>
          <t>D06-02</t>
        </is>
      </c>
      <c r="B24" s="22" t="inlineStr">
        <is>
          <t>D06</t>
        </is>
      </c>
      <c r="C24" s="22" t="inlineStr">
        <is>
          <t>SELL Rating creates Expected Revenue only</t>
        </is>
      </c>
      <c r="D24" s="22" t="inlineStr">
        <is>
          <t>P0</t>
        </is>
      </c>
      <c r="E24" s="22" t="inlineStr">
        <is>
          <t>UI-03/05</t>
        </is>
      </c>
      <c r="F24" s="22" t="inlineStr">
        <is>
          <t>rating→revenue</t>
        </is>
      </c>
      <c r="G24" s="22" t="inlineStr">
        <is>
          <t>ratings/revenues</t>
        </is>
      </c>
      <c r="H24" s="22" t="inlineStr">
        <is>
          <t>RATE/REVENUE + audit</t>
        </is>
      </c>
      <c r="I24" s="22" t="inlineStr">
        <is>
          <t>FS-26</t>
        </is>
      </c>
      <c r="J24" s="22" t="inlineStr">
        <is>
          <t>COMPLETE</t>
        </is>
      </c>
      <c r="K24" s="22" t="inlineStr">
        <is>
          <t>DONE</t>
        </is>
      </c>
      <c r="L24" s="22" t="inlineStr">
        <is>
          <t>Implemented in LCMS modular monolith; see Final Traceability + ADR-0023…0030 + Api.Tests</t>
        </is>
      </c>
    </row>
    <row r="25">
      <c r="A25" s="22" t="inlineStr">
        <is>
          <t>D06-03</t>
        </is>
      </c>
      <c r="B25" s="22" t="inlineStr">
        <is>
          <t>D06</t>
        </is>
      </c>
      <c r="C25" s="22" t="inlineStr">
        <is>
          <t>Shared Revenue Mapping many Bills + conservation</t>
        </is>
      </c>
      <c r="D25" s="22" t="inlineStr">
        <is>
          <t>P0</t>
        </is>
      </c>
      <c r="E25" s="22" t="inlineStr">
        <is>
          <t>UI-05</t>
        </is>
      </c>
      <c r="F25" s="22" t="inlineStr">
        <is>
          <t>mapping commands</t>
        </is>
      </c>
      <c r="G25" s="22" t="inlineStr">
        <is>
          <t>revenue_mappings/details</t>
        </is>
      </c>
      <c r="H25" s="22" t="inlineStr">
        <is>
          <t>REVENUE_MAP + audit</t>
        </is>
      </c>
      <c r="I25" s="22" t="inlineStr">
        <is>
          <t>RV-FINAL-01..06</t>
        </is>
      </c>
      <c r="J25" s="22" t="inlineStr">
        <is>
          <t>COMPLETE</t>
        </is>
      </c>
      <c r="K25" s="22" t="inlineStr">
        <is>
          <t>DONE</t>
        </is>
      </c>
      <c r="L25" s="22" t="inlineStr">
        <is>
          <t>Implemented in LCMS modular monolith; see Final Traceability + ADR-0023…0030 + Api.Tests</t>
        </is>
      </c>
    </row>
    <row r="26">
      <c r="A26" s="22" t="inlineStr">
        <is>
          <t>D06-04</t>
        </is>
      </c>
      <c r="B26" s="22" t="inlineStr">
        <is>
          <t>D06</t>
        </is>
      </c>
      <c r="C26" s="22" t="inlineStr">
        <is>
          <t>Bill profitability maturity/currency/as-of explicit</t>
        </is>
      </c>
      <c r="D26" s="22" t="inlineStr">
        <is>
          <t>P0</t>
        </is>
      </c>
      <c r="E26" s="22" t="inlineStr">
        <is>
          <t>UI-02/05/12</t>
        </is>
      </c>
      <c r="F26" s="22" t="inlineStr">
        <is>
          <t>profitability query</t>
        </is>
      </c>
      <c r="G26" s="22" t="inlineStr">
        <is>
          <t>read model</t>
        </is>
      </c>
      <c r="H26" s="22" t="inlineStr">
        <is>
          <t>PROFITABILITY_VIEW</t>
        </is>
      </c>
      <c r="I26" s="22" t="inlineStr">
        <is>
          <t>FS-29</t>
        </is>
      </c>
      <c r="J26" s="22" t="inlineStr">
        <is>
          <t>COMPLETE</t>
        </is>
      </c>
      <c r="K26" s="22" t="inlineStr">
        <is>
          <t>DONE</t>
        </is>
      </c>
      <c r="L26" s="22" t="inlineStr">
        <is>
          <t>Implemented in LCMS modular monolith; see Final Traceability + ADR-0023…0030 + Api.Tests</t>
        </is>
      </c>
    </row>
    <row r="27">
      <c r="A27" s="22" t="inlineStr">
        <is>
          <t>D07-01</t>
        </is>
      </c>
      <c r="B27" s="22" t="inlineStr">
        <is>
          <t>D07</t>
        </is>
      </c>
      <c r="C27" s="22" t="inlineStr">
        <is>
          <t>Financial Document header/line/evidence</t>
        </is>
      </c>
      <c r="D27" s="22" t="inlineStr">
        <is>
          <t>P0</t>
        </is>
      </c>
      <c r="E27" s="22" t="inlineStr">
        <is>
          <t>UI-06</t>
        </is>
      </c>
      <c r="F27" s="22" t="inlineStr">
        <is>
          <t>document commands/import</t>
        </is>
      </c>
      <c r="G27" s="22" t="inlineStr">
        <is>
          <t>financial_documents/lines</t>
        </is>
      </c>
      <c r="H27" s="22" t="inlineStr">
        <is>
          <t>FIN_DOC + audit</t>
        </is>
      </c>
      <c r="I27" s="22" t="inlineStr">
        <is>
          <t>FA-01..</t>
        </is>
      </c>
      <c r="J27" s="22" t="inlineStr">
        <is>
          <t>COMPLETE</t>
        </is>
      </c>
      <c r="K27" s="22" t="inlineStr">
        <is>
          <t>DONE</t>
        </is>
      </c>
      <c r="L27" s="22" t="inlineStr">
        <is>
          <t>Implemented in LCMS modular monolith; see Final Traceability + ADR-0023…0030 + Api.Tests</t>
        </is>
      </c>
    </row>
    <row r="28">
      <c r="A28" s="22" t="inlineStr">
        <is>
          <t>D07-02</t>
        </is>
      </c>
      <c r="B28" s="22" t="inlineStr">
        <is>
          <t>D07</t>
        </is>
      </c>
      <c r="C28" s="22" t="inlineStr">
        <is>
          <t>Matching 1:1/1:N/N:1/partial with conservation</t>
        </is>
      </c>
      <c r="D28" s="22" t="inlineStr">
        <is>
          <t>P0</t>
        </is>
      </c>
      <c r="E28" s="22" t="inlineStr">
        <is>
          <t>UI-06</t>
        </is>
      </c>
      <c r="F28" s="22" t="inlineStr">
        <is>
          <t>match commands</t>
        </is>
      </c>
      <c r="G28" s="22" t="inlineStr">
        <is>
          <t>document_matches</t>
        </is>
      </c>
      <c r="H28" s="22" t="inlineStr">
        <is>
          <t>MATCH + audit</t>
        </is>
      </c>
      <c r="I28" s="22" t="inlineStr">
        <is>
          <t>FA matrix</t>
        </is>
      </c>
      <c r="J28" s="22" t="inlineStr">
        <is>
          <t>COMPLETE</t>
        </is>
      </c>
      <c r="K28" s="22" t="inlineStr">
        <is>
          <t>DONE</t>
        </is>
      </c>
      <c r="L28" s="22" t="inlineStr">
        <is>
          <t>Implemented in LCMS modular monolith; see Final Traceability + ADR-0023…0030 + Api.Tests</t>
        </is>
      </c>
    </row>
    <row r="29">
      <c r="A29" s="22" t="inlineStr">
        <is>
          <t>D08-01</t>
        </is>
      </c>
      <c r="B29" s="22" t="inlineStr">
        <is>
          <t>D08</t>
        </is>
      </c>
      <c r="C29" s="22" t="inlineStr">
        <is>
          <t>AP/AR policy-driven recognition</t>
        </is>
      </c>
      <c r="D29" s="22" t="inlineStr">
        <is>
          <t>P0</t>
        </is>
      </c>
      <c r="E29" s="22" t="inlineStr">
        <is>
          <t>UI-07/08</t>
        </is>
      </c>
      <c r="F29" s="22" t="inlineStr">
        <is>
          <t>recognize/reverse</t>
        </is>
      </c>
      <c r="G29" s="22" t="inlineStr">
        <is>
          <t>exposures</t>
        </is>
      </c>
      <c r="H29" s="22" t="inlineStr">
        <is>
          <t>AP_AR + audit</t>
        </is>
      </c>
      <c r="I29" s="22" t="inlineStr">
        <is>
          <t>FS-26</t>
        </is>
      </c>
      <c r="J29" s="22" t="inlineStr">
        <is>
          <t>COMPLETE</t>
        </is>
      </c>
      <c r="K29" s="22" t="inlineStr">
        <is>
          <t>DONE</t>
        </is>
      </c>
      <c r="L29" s="22" t="inlineStr">
        <is>
          <t>Implemented in LCMS modular monolith; see Final Traceability + ADR-0023…0030 + Api.Tests</t>
        </is>
      </c>
    </row>
    <row r="30">
      <c r="A30" s="22" t="inlineStr">
        <is>
          <t>D08-02</t>
        </is>
      </c>
      <c r="B30" s="22" t="inlineStr">
        <is>
          <t>D08</t>
        </is>
      </c>
      <c r="C30" s="22" t="inlineStr">
        <is>
          <t>Outstanding formula/partial recognition/aging</t>
        </is>
      </c>
      <c r="D30" s="22" t="inlineStr">
        <is>
          <t>P0</t>
        </is>
      </c>
      <c r="E30" s="22" t="inlineStr">
        <is>
          <t>UI-07/08</t>
        </is>
      </c>
      <c r="F30" s="22" t="inlineStr">
        <is>
          <t>exposure queries</t>
        </is>
      </c>
      <c r="G30" s="22" t="inlineStr">
        <is>
          <t>exposure/read model</t>
        </is>
      </c>
      <c r="H30" s="22" t="inlineStr">
        <is>
          <t>AP_AR_VIEW</t>
        </is>
      </c>
      <c r="I30" s="22" t="inlineStr">
        <is>
          <t>FA matrix</t>
        </is>
      </c>
      <c r="J30" s="22" t="inlineStr">
        <is>
          <t>COMPLETE</t>
        </is>
      </c>
      <c r="K30" s="22" t="inlineStr">
        <is>
          <t>DONE</t>
        </is>
      </c>
      <c r="L30" s="22" t="inlineStr">
        <is>
          <t>Implemented in LCMS modular monolith; see Final Traceability + ADR-0023…0030 + Api.Tests</t>
        </is>
      </c>
    </row>
    <row r="31">
      <c r="A31" s="22" t="inlineStr">
        <is>
          <t>D09-01</t>
        </is>
      </c>
      <c r="B31" s="22" t="inlineStr">
        <is>
          <t>D09</t>
        </is>
      </c>
      <c r="C31" s="22" t="inlineStr">
        <is>
          <t>Payment/Collection cash fact independent of settlement</t>
        </is>
      </c>
      <c r="D31" s="22" t="inlineStr">
        <is>
          <t>P0</t>
        </is>
      </c>
      <c r="E31" s="22" t="inlineStr">
        <is>
          <t>UI-09</t>
        </is>
      </c>
      <c r="F31" s="22" t="inlineStr">
        <is>
          <t>cash commands/import</t>
        </is>
      </c>
      <c r="G31" s="22" t="inlineStr">
        <is>
          <t>cash_transactions</t>
        </is>
      </c>
      <c r="H31" s="22" t="inlineStr">
        <is>
          <t>CASH + audit</t>
        </is>
      </c>
      <c r="I31" s="22" t="inlineStr">
        <is>
          <t>PC-01..</t>
        </is>
      </c>
      <c r="J31" s="22" t="inlineStr">
        <is>
          <t>COMPLETE</t>
        </is>
      </c>
      <c r="K31" s="22" t="inlineStr">
        <is>
          <t>DONE</t>
        </is>
      </c>
      <c r="L31" s="22" t="inlineStr">
        <is>
          <t>Implemented in LCMS modular monolith; see Final Traceability + ADR-0023…0030 + Api.Tests</t>
        </is>
      </c>
    </row>
    <row r="32">
      <c r="A32" s="22" t="inlineStr">
        <is>
          <t>D09-02</t>
        </is>
      </c>
      <c r="B32" s="22" t="inlineStr">
        <is>
          <t>D09</t>
        </is>
      </c>
      <c r="C32" s="22" t="inlineStr">
        <is>
          <t>Many-to-many partial settlement + unapplied cash</t>
        </is>
      </c>
      <c r="D32" s="22" t="inlineStr">
        <is>
          <t>P0</t>
        </is>
      </c>
      <c r="E32" s="22" t="inlineStr">
        <is>
          <t>UI-09</t>
        </is>
      </c>
      <c r="F32" s="22" t="inlineStr">
        <is>
          <t>allocate/reverse settlement</t>
        </is>
      </c>
      <c r="G32" s="22" t="inlineStr">
        <is>
          <t>settlement_allocations</t>
        </is>
      </c>
      <c r="H32" s="22" t="inlineStr">
        <is>
          <t>SETTLE + audit</t>
        </is>
      </c>
      <c r="I32" s="22" t="inlineStr">
        <is>
          <t>FS-15</t>
        </is>
      </c>
      <c r="J32" s="22" t="inlineStr">
        <is>
          <t>COMPLETE</t>
        </is>
      </c>
      <c r="K32" s="22" t="inlineStr">
        <is>
          <t>DONE</t>
        </is>
      </c>
      <c r="L32" s="22" t="inlineStr">
        <is>
          <t>Implemented in LCMS modular monolith; see Final Traceability + ADR-0023…0030 + Api.Tests</t>
        </is>
      </c>
    </row>
    <row r="33">
      <c r="A33" s="22" t="inlineStr">
        <is>
          <t>D09-03</t>
        </is>
      </c>
      <c r="B33" s="22" t="inlineStr">
        <is>
          <t>D09</t>
        </is>
      </c>
      <c r="C33" s="22" t="inlineStr">
        <is>
          <t>FX settlement traceable; no silent Cost/Revenue change</t>
        </is>
      </c>
      <c r="D33" s="22" t="inlineStr">
        <is>
          <t>P0</t>
        </is>
      </c>
      <c r="E33" s="22" t="inlineStr">
        <is>
          <t>UI-09</t>
        </is>
      </c>
      <c r="F33" s="22" t="inlineStr">
        <is>
          <t>settlement command</t>
        </is>
      </c>
      <c r="G33" s="22" t="inlineStr">
        <is>
          <t>settlement fx fields</t>
        </is>
      </c>
      <c r="H33" s="22" t="inlineStr">
        <is>
          <t>SETTLE + audit</t>
        </is>
      </c>
      <c r="I33" s="22" t="inlineStr">
        <is>
          <t>PC matrix</t>
        </is>
      </c>
      <c r="J33" s="22" t="inlineStr">
        <is>
          <t>COMPLETE</t>
        </is>
      </c>
      <c r="K33" s="22" t="inlineStr">
        <is>
          <t>DONE</t>
        </is>
      </c>
      <c r="L33" s="22" t="inlineStr">
        <is>
          <t>Implemented in LCMS modular monolith; see Final Traceability + ADR-0023…0030 + Api.Tests</t>
        </is>
      </c>
    </row>
    <row r="34">
      <c r="A34" s="22" t="inlineStr">
        <is>
          <t>D10-01</t>
        </is>
      </c>
      <c r="B34" s="22" t="inlineStr">
        <is>
          <t>D10</t>
        </is>
      </c>
      <c r="C34" s="22" t="inlineStr">
        <is>
          <t>Reconciliation run/type/tolerance/variance</t>
        </is>
      </c>
      <c r="D34" s="22" t="inlineStr">
        <is>
          <t>P0</t>
        </is>
      </c>
      <c r="E34" s="22" t="inlineStr">
        <is>
          <t>UI-10</t>
        </is>
      </c>
      <c r="F34" s="22" t="inlineStr">
        <is>
          <t>run/review recon</t>
        </is>
      </c>
      <c r="G34" s="22" t="inlineStr">
        <is>
          <t>reconciliation_*</t>
        </is>
      </c>
      <c r="H34" s="22" t="inlineStr">
        <is>
          <t>RECON + audit</t>
        </is>
      </c>
      <c r="I34" s="22" t="inlineStr">
        <is>
          <t>PC matrix</t>
        </is>
      </c>
      <c r="J34" s="22" t="inlineStr">
        <is>
          <t>COMPLETE</t>
        </is>
      </c>
      <c r="K34" s="22" t="inlineStr">
        <is>
          <t>DONE</t>
        </is>
      </c>
      <c r="L34" s="22" t="inlineStr">
        <is>
          <t>Implemented in LCMS modular monolith; see Final Traceability + ADR-0023…0030 + Api.Tests</t>
        </is>
      </c>
    </row>
    <row r="35">
      <c r="A35" s="22" t="inlineStr">
        <is>
          <t>D10-02</t>
        </is>
      </c>
      <c r="B35" s="22" t="inlineStr">
        <is>
          <t>D10</t>
        </is>
      </c>
      <c r="C35" s="22" t="inlineStr">
        <is>
          <t>Exception severity/owner/SLA/resolution/waiver</t>
        </is>
      </c>
      <c r="D35" s="22" t="inlineStr">
        <is>
          <t>P0</t>
        </is>
      </c>
      <c r="E35" s="22" t="inlineStr">
        <is>
          <t>UI-10</t>
        </is>
      </c>
      <c r="F35" s="22" t="inlineStr">
        <is>
          <t>exception commands</t>
        </is>
      </c>
      <c r="G35" s="22" t="inlineStr">
        <is>
          <t>exceptions</t>
        </is>
      </c>
      <c r="H35" s="22" t="inlineStr">
        <is>
          <t>EXCEPTION + audit</t>
        </is>
      </c>
      <c r="I35" s="22" t="inlineStr">
        <is>
          <t>FS-26</t>
        </is>
      </c>
      <c r="J35" s="22" t="inlineStr">
        <is>
          <t>COMPLETE</t>
        </is>
      </c>
      <c r="K35" s="22" t="inlineStr">
        <is>
          <t>DONE</t>
        </is>
      </c>
      <c r="L35" s="22" t="inlineStr">
        <is>
          <t>Implemented in LCMS modular monolith; see Final Traceability + ADR-0023…0030 + Api.Tests</t>
        </is>
      </c>
    </row>
    <row r="36">
      <c r="A36" s="22" t="inlineStr">
        <is>
          <t>D10-03</t>
        </is>
      </c>
      <c r="B36" s="22" t="inlineStr">
        <is>
          <t>D10</t>
        </is>
      </c>
      <c r="C36" s="22" t="inlineStr">
        <is>
          <t>Approval independent, maker-checker, multi-level/stale-safe</t>
        </is>
      </c>
      <c r="D36" s="22" t="inlineStr">
        <is>
          <t>P0</t>
        </is>
      </c>
      <c r="E36" s="22" t="inlineStr">
        <is>
          <t>UI-10</t>
        </is>
      </c>
      <c r="F36" s="22" t="inlineStr">
        <is>
          <t>request/decide</t>
        </is>
      </c>
      <c r="G36" s="22" t="inlineStr">
        <is>
          <t>approvals</t>
        </is>
      </c>
      <c r="H36" s="22" t="inlineStr">
        <is>
          <t>APPROVE + audit</t>
        </is>
      </c>
      <c r="I36" s="22" t="inlineStr">
        <is>
          <t>FS-26</t>
        </is>
      </c>
      <c r="J36" s="22" t="inlineStr">
        <is>
          <t>COMPLETE</t>
        </is>
      </c>
      <c r="K36" s="22" t="inlineStr">
        <is>
          <t>DONE</t>
        </is>
      </c>
      <c r="L36" s="22" t="inlineStr">
        <is>
          <t>Implemented in LCMS modular monolith; see Final Traceability + ADR-0023…0030 + Api.Tests</t>
        </is>
      </c>
    </row>
    <row r="37">
      <c r="A37" s="22" t="inlineStr">
        <is>
          <t>D11-01</t>
        </is>
      </c>
      <c r="B37" s="22" t="inlineStr">
        <is>
          <t>D11</t>
        </is>
      </c>
      <c r="C37" s="22" t="inlineStr">
        <is>
          <t>Configurable pre-close checks and policy version</t>
        </is>
      </c>
      <c r="D37" s="22" t="inlineStr">
        <is>
          <t>P0</t>
        </is>
      </c>
      <c r="E37" s="22" t="inlineStr">
        <is>
          <t>UI-11</t>
        </is>
      </c>
      <c r="F37" s="22" t="inlineStr">
        <is>
          <t>precheck/close</t>
        </is>
      </c>
      <c r="G37" s="22" t="inlineStr">
        <is>
          <t>close_runs/policy</t>
        </is>
      </c>
      <c r="H37" s="22" t="inlineStr">
        <is>
          <t>CLOSE_RUN + audit</t>
        </is>
      </c>
      <c r="I37" s="22" t="inlineStr">
        <is>
          <t>CR-01..</t>
        </is>
      </c>
      <c r="J37" s="22" t="inlineStr">
        <is>
          <t>COMPLETE</t>
        </is>
      </c>
      <c r="K37" s="22" t="inlineStr">
        <is>
          <t>DONE</t>
        </is>
      </c>
      <c r="L37" s="22" t="inlineStr">
        <is>
          <t>Implemented in LCMS modular monolith; see Final Traceability + ADR-0023…0030 + Api.Tests</t>
        </is>
      </c>
    </row>
    <row r="38">
      <c r="A38" s="22" t="inlineStr">
        <is>
          <t>D11-02</t>
        </is>
      </c>
      <c r="B38" s="22" t="inlineStr">
        <is>
          <t>D11</t>
        </is>
      </c>
      <c r="C38" s="22" t="inlineStr">
        <is>
          <t>Immutable snapshot; late/reopen/reclose preserves versions</t>
        </is>
      </c>
      <c r="D38" s="22" t="inlineStr">
        <is>
          <t>P0</t>
        </is>
      </c>
      <c r="E38" s="22" t="inlineStr">
        <is>
          <t>UI-11</t>
        </is>
      </c>
      <c r="F38" s="22" t="inlineStr">
        <is>
          <t>close/reopen/reclose</t>
        </is>
      </c>
      <c r="G38" s="22" t="inlineStr">
        <is>
          <t>close_snapshots</t>
        </is>
      </c>
      <c r="H38" s="22" t="inlineStr">
        <is>
          <t>CLOSE/REOPEN + audit</t>
        </is>
      </c>
      <c r="I38" s="22" t="inlineStr">
        <is>
          <t>FS-17/29</t>
        </is>
      </c>
      <c r="J38" s="22" t="inlineStr">
        <is>
          <t>COMPLETE</t>
        </is>
      </c>
      <c r="K38" s="22" t="inlineStr">
        <is>
          <t>DONE</t>
        </is>
      </c>
      <c r="L38" s="22" t="inlineStr">
        <is>
          <t>Implemented in LCMS modular monolith; see Final Traceability + ADR-0023…0030 + Api.Tests</t>
        </is>
      </c>
    </row>
    <row r="39">
      <c r="A39" s="22" t="inlineStr">
        <is>
          <t>RPT-01</t>
        </is>
      </c>
      <c r="B39" s="22" t="inlineStr">
        <is>
          <t>REPORT</t>
        </is>
      </c>
      <c r="C39" s="22" t="inlineStr">
        <is>
          <t>Canonical metrics/maturity/currency/as-of</t>
        </is>
      </c>
      <c r="D39" s="22" t="inlineStr">
        <is>
          <t>P0</t>
        </is>
      </c>
      <c r="E39" s="22" t="inlineStr">
        <is>
          <t>UI-12</t>
        </is>
      </c>
      <c r="F39" s="22" t="inlineStr">
        <is>
          <t>report query</t>
        </is>
      </c>
      <c r="G39" s="22" t="inlineStr">
        <is>
          <t>read models</t>
        </is>
      </c>
      <c r="H39" s="22" t="inlineStr">
        <is>
          <t>REPORT_VIEW</t>
        </is>
      </c>
      <c r="I39" s="22" t="inlineStr">
        <is>
          <t>FS-29</t>
        </is>
      </c>
      <c r="J39" s="22" t="inlineStr">
        <is>
          <t>COMPLETE</t>
        </is>
      </c>
      <c r="K39" s="22" t="inlineStr">
        <is>
          <t>DONE</t>
        </is>
      </c>
      <c r="L39" s="22" t="inlineStr">
        <is>
          <t>Implemented in LCMS modular monolith; see Final Traceability + ADR-0023…0030 + Api.Tests</t>
        </is>
      </c>
    </row>
    <row r="40">
      <c r="A40" s="22" t="inlineStr">
        <is>
          <t>RPT-02</t>
        </is>
      </c>
      <c r="B40" s="22" t="inlineStr">
        <is>
          <t>REPORT</t>
        </is>
      </c>
      <c r="C40" s="22" t="inlineStr">
        <is>
          <t>Export uses same filter/scope and is audited</t>
        </is>
      </c>
      <c r="D40" s="22" t="inlineStr">
        <is>
          <t>P0</t>
        </is>
      </c>
      <c r="E40" s="22" t="inlineStr">
        <is>
          <t>UI-12</t>
        </is>
      </c>
      <c r="F40" s="22" t="inlineStr">
        <is>
          <t>export job</t>
        </is>
      </c>
      <c r="G40" s="22" t="inlineStr">
        <is>
          <t>export jobs</t>
        </is>
      </c>
      <c r="H40" s="22" t="inlineStr">
        <is>
          <t>REPORT_EXPORT + audit</t>
        </is>
      </c>
      <c r="I40" s="22" t="inlineStr">
        <is>
          <t>FS-19</t>
        </is>
      </c>
      <c r="J40" s="22" t="inlineStr">
        <is>
          <t>COMPLETE</t>
        </is>
      </c>
      <c r="K40" s="22" t="inlineStr">
        <is>
          <t>DONE</t>
        </is>
      </c>
      <c r="L40" s="22" t="inlineStr">
        <is>
          <t>Implemented in LCMS modular monolith; see Final Traceability + ADR-0023…0030 + Api.Tests</t>
        </is>
      </c>
    </row>
    <row r="41">
      <c r="A41" s="22" t="inlineStr">
        <is>
          <t>D12-01</t>
        </is>
      </c>
      <c r="B41" s="22" t="inlineStr">
        <is>
          <t>D12</t>
        </is>
      </c>
      <c r="C41" s="22" t="inlineStr">
        <is>
          <t>Manual/Import/API same canonical validation/provenance</t>
        </is>
      </c>
      <c r="D41" s="22" t="inlineStr">
        <is>
          <t>P0</t>
        </is>
      </c>
      <c r="E41" s="22" t="inlineStr">
        <is>
          <t>All</t>
        </is>
      </c>
      <c r="F41" s="22" t="inlineStr">
        <is>
          <t>canonical ingress</t>
        </is>
      </c>
      <c r="G41" s="22" t="inlineStr">
        <is>
          <t>integration_records</t>
        </is>
      </c>
      <c r="H41" s="22" t="inlineStr">
        <is>
          <t>channel permissions + audit</t>
        </is>
      </c>
      <c r="I41" s="22" t="inlineStr">
        <is>
          <t>FS-07/20</t>
        </is>
      </c>
      <c r="J41" s="22" t="inlineStr">
        <is>
          <t>COMPLETE</t>
        </is>
      </c>
      <c r="K41" s="22" t="inlineStr">
        <is>
          <t>DONE</t>
        </is>
      </c>
      <c r="L41" s="22" t="inlineStr">
        <is>
          <t>Implemented in LCMS modular monolith; see Final Traceability + ADR-0023…0030 + Api.Tests</t>
        </is>
      </c>
    </row>
    <row r="42">
      <c r="A42" s="22" t="inlineStr">
        <is>
          <t>D12-02</t>
        </is>
      </c>
      <c r="B42" s="22" t="inlineStr">
        <is>
          <t>D12</t>
        </is>
      </c>
      <c r="C42" s="22" t="inlineStr">
        <is>
          <t>Idempotency create/commands/import/link</t>
        </is>
      </c>
      <c r="D42" s="22" t="inlineStr">
        <is>
          <t>P0</t>
        </is>
      </c>
      <c r="E42" s="22" t="inlineStr">
        <is>
          <t>All</t>
        </is>
      </c>
      <c r="F42" s="22" t="inlineStr">
        <is>
          <t>idempotency contract</t>
        </is>
      </c>
      <c r="G42" s="22" t="inlineStr">
        <is>
          <t>idempotency/integration records</t>
        </is>
      </c>
      <c r="H42" s="22" t="inlineStr">
        <is>
          <t>audit</t>
        </is>
      </c>
      <c r="I42" s="22" t="inlineStr">
        <is>
          <t>FS-05/06/08</t>
        </is>
      </c>
      <c r="J42" s="22" t="inlineStr">
        <is>
          <t>COMPLETE</t>
        </is>
      </c>
      <c r="K42" s="22" t="inlineStr">
        <is>
          <t>DONE</t>
        </is>
      </c>
      <c r="L42" s="22" t="inlineStr">
        <is>
          <t>IdempotencyGate scopes financial_document…financial_close</t>
        </is>
      </c>
    </row>
    <row r="43">
      <c r="A43" s="22" t="inlineStr">
        <is>
          <t>D12-03</t>
        </is>
      </c>
      <c r="B43" s="22" t="inlineStr">
        <is>
          <t>D12</t>
        </is>
      </c>
      <c r="C43" s="22" t="inlineStr">
        <is>
          <t>Retry/backoff/actionable failed state; no fabricated financial facts</t>
        </is>
      </c>
      <c r="D43" s="22" t="inlineStr">
        <is>
          <t>P0</t>
        </is>
      </c>
      <c r="E43" s="22" t="inlineStr">
        <is>
          <t>UI-14</t>
        </is>
      </c>
      <c r="F43" s="22" t="inlineStr">
        <is>
          <t>worker/replay</t>
        </is>
      </c>
      <c r="G43" s="22" t="inlineStr">
        <is>
          <t>integration_errors/outbox</t>
        </is>
      </c>
      <c r="H43" s="22" t="inlineStr">
        <is>
          <t>INTEGRATION_ADMIN</t>
        </is>
      </c>
      <c r="I43" s="22" t="inlineStr">
        <is>
          <t>FS-11/12</t>
        </is>
      </c>
      <c r="J43" s="22" t="inlineStr">
        <is>
          <t>COMPLETE</t>
        </is>
      </c>
      <c r="K43" s="22" t="inlineStr">
        <is>
          <t>DONE</t>
        </is>
      </c>
      <c r="L43" s="22" t="inlineStr">
        <is>
          <t>SecretRedactor on integration errors; MetricsProtectMiddleware; job-health actionable</t>
        </is>
      </c>
    </row>
    <row r="44">
      <c r="A44" s="22" t="inlineStr">
        <is>
          <t>SEC-01</t>
        </is>
      </c>
      <c r="B44" s="22" t="inlineStr">
        <is>
          <t>SEC</t>
        </is>
      </c>
      <c r="C44" s="22" t="inlineStr">
        <is>
          <t>Tenant isolation all surfaces</t>
        </is>
      </c>
      <c r="D44" s="22" t="inlineStr">
        <is>
          <t>P0</t>
        </is>
      </c>
      <c r="E44" s="22" t="inlineStr">
        <is>
          <t>All</t>
        </is>
      </c>
      <c r="F44" s="22" t="inlineStr">
        <is>
          <t>auth context</t>
        </is>
      </c>
      <c r="G44" s="22" t="inlineStr">
        <is>
          <t>tenant_id</t>
        </is>
      </c>
      <c r="H44" s="22" t="inlineStr">
        <is>
          <t>server-side</t>
        </is>
      </c>
      <c r="I44" s="22" t="inlineStr">
        <is>
          <t>FS-01/02</t>
        </is>
      </c>
      <c r="J44" s="22" t="inlineStr">
        <is>
          <t>COMPLETE</t>
        </is>
      </c>
      <c r="K44" s="22" t="inlineStr">
        <is>
          <t>DONE</t>
        </is>
      </c>
      <c r="L44" s="22" t="inlineStr">
        <is>
          <t>Implemented in LCMS modular monolith; see Final Traceability + ADR-0023…0030 + Api.Tests</t>
        </is>
      </c>
    </row>
    <row r="45">
      <c r="A45" s="22" t="inlineStr">
        <is>
          <t>SEC-02</t>
        </is>
      </c>
      <c r="B45" s="22" t="inlineStr">
        <is>
          <t>SEC</t>
        </is>
      </c>
      <c r="C45" s="22" t="inlineStr">
        <is>
          <t>Action Permission × Data Scope; backend authority</t>
        </is>
      </c>
      <c r="D45" s="22" t="inlineStr">
        <is>
          <t>P0</t>
        </is>
      </c>
      <c r="E45" s="22" t="inlineStr">
        <is>
          <t>All</t>
        </is>
      </c>
      <c r="F45" s="22" t="inlineStr">
        <is>
          <t>authorization</t>
        </is>
      </c>
      <c r="G45" s="22" t="inlineStr">
        <is>
          <t>roles/permissions/scopes</t>
        </is>
      </c>
      <c r="H45" s="22" t="inlineStr">
        <is>
          <t>server-side + audit</t>
        </is>
      </c>
      <c r="I45" s="22" t="inlineStr">
        <is>
          <t>FS-03/18</t>
        </is>
      </c>
      <c r="J45" s="22" t="inlineStr">
        <is>
          <t>COMPLETE</t>
        </is>
      </c>
      <c r="K45" s="22" t="inlineStr">
        <is>
          <t>DONE</t>
        </is>
      </c>
      <c r="L45" s="22" t="inlineStr">
        <is>
          <t>Implemented in LCMS modular monolith; see Final Traceability + ADR-0023…0030 + Api.Tests</t>
        </is>
      </c>
    </row>
    <row r="46">
      <c r="A46" s="22" t="inlineStr">
        <is>
          <t>SEC-03</t>
        </is>
      </c>
      <c r="B46" s="22" t="inlineStr">
        <is>
          <t>SEC</t>
        </is>
      </c>
      <c r="C46" s="22" t="inlineStr">
        <is>
          <t>Sensitive BUY/SELL/Profitability/cash separation</t>
        </is>
      </c>
      <c r="D46" s="22" t="inlineStr">
        <is>
          <t>P0</t>
        </is>
      </c>
      <c r="E46" s="22" t="inlineStr">
        <is>
          <t>UI-04/05/09/12</t>
        </is>
      </c>
      <c r="F46" s="22" t="inlineStr">
        <is>
          <t>authorization</t>
        </is>
      </c>
      <c r="G46" s="22" t="inlineStr">
        <is>
          <t>permissions</t>
        </is>
      </c>
      <c r="H46" s="22" t="inlineStr">
        <is>
          <t>dedicated permissions</t>
        </is>
      </c>
      <c r="I46" s="22" t="inlineStr">
        <is>
          <t>FS-04</t>
        </is>
      </c>
      <c r="J46" s="22" t="inlineStr">
        <is>
          <t>COMPLETE</t>
        </is>
      </c>
      <c r="K46" s="22" t="inlineStr">
        <is>
          <t>DONE</t>
        </is>
      </c>
      <c r="L46" s="22" t="inlineStr">
        <is>
          <t>Implemented in LCMS modular monolith; see Final Traceability + ADR-0023…0030 + Api.Tests</t>
        </is>
      </c>
    </row>
    <row r="47">
      <c r="A47" s="22" t="inlineStr">
        <is>
          <t>AUD-01</t>
        </is>
      </c>
      <c r="B47" s="22" t="inlineStr">
        <is>
          <t>AUDIT</t>
        </is>
      </c>
      <c r="C47" s="22" t="inlineStr">
        <is>
          <t>Immutable audit + reason/provenance/correlation</t>
        </is>
      </c>
      <c r="D47" s="22" t="inlineStr">
        <is>
          <t>P0</t>
        </is>
      </c>
      <c r="E47" s="22" t="inlineStr">
        <is>
          <t>All</t>
        </is>
      </c>
      <c r="F47" s="22" t="inlineStr">
        <is>
          <t>audit query</t>
        </is>
      </c>
      <c r="G47" s="22" t="inlineStr">
        <is>
          <t>audit_events</t>
        </is>
      </c>
      <c r="H47" s="22" t="inlineStr">
        <is>
          <t>AUDIT_VIEW</t>
        </is>
      </c>
      <c r="I47" s="22" t="inlineStr">
        <is>
          <t>FS-13/25</t>
        </is>
      </c>
      <c r="J47" s="22" t="inlineStr">
        <is>
          <t>COMPLETE</t>
        </is>
      </c>
      <c r="K47" s="22" t="inlineStr">
        <is>
          <t>DONE</t>
        </is>
      </c>
      <c r="L47" s="22" t="inlineStr">
        <is>
          <t>Implemented in LCMS modular monolith; see Final Traceability + ADR-0023…0030 + Api.Tests</t>
        </is>
      </c>
    </row>
    <row r="48">
      <c r="A48" s="22" t="inlineStr">
        <is>
          <t>POL-01</t>
        </is>
      </c>
      <c r="B48" s="22" t="inlineStr">
        <is>
          <t>CONFIG</t>
        </is>
      </c>
      <c r="C48" s="22" t="inlineStr">
        <is>
          <t>Versioned/effective Policy Registry</t>
        </is>
      </c>
      <c r="D48" s="22" t="inlineStr">
        <is>
          <t>P0</t>
        </is>
      </c>
      <c r="E48" s="22" t="inlineStr">
        <is>
          <t>UI-14</t>
        </is>
      </c>
      <c r="F48" s="22" t="inlineStr">
        <is>
          <t>policy publish/activate</t>
        </is>
      </c>
      <c r="G48" s="22" t="inlineStr">
        <is>
          <t>policies/versions</t>
        </is>
      </c>
      <c r="H48" s="22" t="inlineStr">
        <is>
          <t>CONFIG + audit</t>
        </is>
      </c>
      <c r="I48" s="22" t="inlineStr">
        <is>
          <t>FS-26</t>
        </is>
      </c>
      <c r="J48" s="22" t="inlineStr">
        <is>
          <t>COMPLETE</t>
        </is>
      </c>
      <c r="K48" s="22" t="inlineStr">
        <is>
          <t>DONE</t>
        </is>
      </c>
      <c r="L48" s="22" t="inlineStr">
        <is>
          <t>Implemented in LCMS modular monolith; see Final Traceability + ADR-0023…0030 + Api.Tests</t>
        </is>
      </c>
    </row>
    <row r="49">
      <c r="A49" s="22" t="inlineStr">
        <is>
          <t>NFR-01</t>
        </is>
      </c>
      <c r="B49" s="22" t="inlineStr">
        <is>
          <t>NFR</t>
        </is>
      </c>
      <c r="C49" s="22" t="inlineStr">
        <is>
          <t>Atomicity/concurrency/non-destructive finance</t>
        </is>
      </c>
      <c r="D49" s="22" t="inlineStr">
        <is>
          <t>P0</t>
        </is>
      </c>
      <c r="E49" s="22" t="inlineStr">
        <is>
          <t>All</t>
        </is>
      </c>
      <c r="F49" s="22" t="inlineStr">
        <is>
          <t>transaction commands</t>
        </is>
      </c>
      <c r="G49" s="22" t="inlineStr">
        <is>
          <t>domain tables</t>
        </is>
      </c>
      <c r="H49" s="22" t="inlineStr">
        <is>
          <t>server controls</t>
        </is>
      </c>
      <c r="I49" s="22" t="inlineStr">
        <is>
          <t>FS-15/16/24</t>
        </is>
      </c>
      <c r="J49" s="22" t="inlineStr">
        <is>
          <t>COMPLETE</t>
        </is>
      </c>
      <c r="K49" s="22" t="inlineStr">
        <is>
          <t>DONE</t>
        </is>
      </c>
      <c r="L49" s="22" t="inlineStr">
        <is>
          <t>Implemented in LCMS modular monolith; see Final Traceability + ADR-0023…0030 + Api.Tests</t>
        </is>
      </c>
    </row>
    <row r="50">
      <c r="A50" s="22" t="inlineStr">
        <is>
          <t>NFR-02</t>
        </is>
      </c>
      <c r="B50" s="22" t="inlineStr">
        <is>
          <t>NFR</t>
        </is>
      </c>
      <c r="C50" s="22" t="inlineStr">
        <is>
          <t>Observability/jobs/secrets redaction</t>
        </is>
      </c>
      <c r="D50" s="22" t="inlineStr">
        <is>
          <t>P0</t>
        </is>
      </c>
      <c r="E50" s="22" t="inlineStr">
        <is>
          <t>UI-14</t>
        </is>
      </c>
      <c r="F50" s="22" t="inlineStr">
        <is>
          <t>jobs/health</t>
        </is>
      </c>
      <c r="G50" s="22" t="inlineStr">
        <is>
          <t>job/integration metadata</t>
        </is>
      </c>
      <c r="H50" s="22" t="inlineStr">
        <is>
          <t>OPS_ADMIN</t>
        </is>
      </c>
      <c r="I50" s="22" t="inlineStr">
        <is>
          <t>FS-14/17/23</t>
        </is>
      </c>
      <c r="J50" s="22" t="inlineStr">
        <is>
          <t>COMPLETE</t>
        </is>
      </c>
      <c r="K50" s="22" t="inlineStr">
        <is>
          <t>DONE</t>
        </is>
      </c>
      <c r="L50" s="22" t="inlineStr">
        <is>
          <t>Implemented in LCMS modular monolith; see Final Traceability + ADR-0023…0030 + Api.Tests</t>
        </is>
      </c>
    </row>
    <row r="51">
      <c r="A51" s="22" t="inlineStr">
        <is>
          <t>UX-01</t>
        </is>
      </c>
      <c r="B51" s="22" t="inlineStr">
        <is>
          <t>UX</t>
        </is>
      </c>
      <c r="C51" s="22" t="inlineStr">
        <is>
          <t>Vietnamese UI language contract and approved terms</t>
        </is>
      </c>
      <c r="D51" s="22" t="inlineStr">
        <is>
          <t>P0</t>
        </is>
      </c>
      <c r="E51" s="22" t="inlineStr">
        <is>
          <t>UI-01..15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FS-22</t>
        </is>
      </c>
      <c r="J51" s="22" t="inlineStr">
        <is>
          <t>COMPLETE</t>
        </is>
      </c>
      <c r="K51" s="22" t="inlineStr">
        <is>
          <t>DONE</t>
        </is>
      </c>
      <c r="L51" s="22" t="inlineStr">
        <is>
          <t>Implemented in LCMS modular monolith; see Final Traceability + ADR-0023…0030 + Api.Tests</t>
        </is>
      </c>
    </row>
    <row r="52">
      <c r="A52" s="22" t="inlineStr">
        <is>
          <t>E2E-01</t>
        </is>
      </c>
      <c r="B52" s="22" t="inlineStr">
        <is>
          <t>E2E</t>
        </is>
      </c>
      <c r="C52" s="22" t="inlineStr">
        <is>
          <t>Standalone tenant completes core end-to-end without external systems</t>
        </is>
      </c>
      <c r="D52" s="22" t="inlineStr">
        <is>
          <t>P0</t>
        </is>
      </c>
      <c r="E52" s="22" t="inlineStr">
        <is>
          <t>UI-01..15</t>
        </is>
      </c>
      <c r="F52" s="22" t="inlineStr">
        <is>
          <t>all core commands</t>
        </is>
      </c>
      <c r="G52" s="22" t="inlineStr">
        <is>
          <t>all domains</t>
        </is>
      </c>
      <c r="H52" s="22" t="inlineStr">
        <is>
          <t>all relevant</t>
        </is>
      </c>
      <c r="I52" s="22" t="inlineStr">
        <is>
          <t>FS-20/26</t>
        </is>
      </c>
      <c r="J52" s="22" t="inlineStr">
        <is>
          <t>COMPLETE</t>
        </is>
      </c>
      <c r="K52" s="22" t="inlineStr">
        <is>
          <t>DONE</t>
        </is>
      </c>
      <c r="L52" s="22" t="inlineStr">
        <is>
          <t>Implemented in LCMS modular monolith; see Final Traceability + ADR-0023…0030 + Api.Tests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2026-09-22T08:53:10Z</dcterms:created>
  <dcterms:modified xmlns:dcterms="http://purl.org/dc/terms/" xmlns:xsi="http://www.w3.org/2001/XMLSchema-instance" xsi:type="dcterms:W3CDTF">2026-09-22T08:54:09Z</dcterms:modified>
</cp:coreProperties>
</file>